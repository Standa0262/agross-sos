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ssol-my.sharepoint.com/personal/litvin_agrossol_onmicrosoft_com/Documents/Plocha/A-GROSS SOS/"/>
    </mc:Choice>
  </mc:AlternateContent>
  <xr:revisionPtr revIDLastSave="520" documentId="8_{617C0F2A-FED8-4700-A99C-B57701C470A3}" xr6:coauthVersionLast="47" xr6:coauthVersionMax="47" xr10:uidLastSave="{E682663A-7187-4739-88C0-C8C40AF22CA1}"/>
  <bookViews>
    <workbookView xWindow="-120" yWindow="-120" windowWidth="29040" windowHeight="15720" xr2:uid="{DA3CA980-E8D1-4B6B-A3F7-0D1B22D66153}"/>
  </bookViews>
  <sheets>
    <sheet name="List1" sheetId="1" r:id="rId1"/>
  </sheets>
  <definedNames>
    <definedName name="_xlnm._FilterDatabase" localSheetId="0" hidden="1">List1!$A$2:$V$2</definedName>
    <definedName name="_xlnm.Print_Area" localSheetId="0">List1!$A$1:$K$43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3" i="1" l="1"/>
  <c r="J43" i="1" s="1"/>
  <c r="D43" i="1"/>
  <c r="H42" i="1"/>
  <c r="J42" i="1" s="1"/>
  <c r="D42" i="1"/>
  <c r="H41" i="1"/>
  <c r="J41" i="1" s="1"/>
  <c r="D41" i="1"/>
  <c r="H40" i="1"/>
  <c r="J40" i="1" s="1"/>
  <c r="D40" i="1"/>
  <c r="H39" i="1"/>
  <c r="J39" i="1" s="1"/>
  <c r="D39" i="1"/>
  <c r="H38" i="1"/>
  <c r="J38" i="1" s="1"/>
  <c r="D38" i="1"/>
  <c r="H37" i="1"/>
  <c r="J37" i="1" s="1"/>
  <c r="D37" i="1"/>
  <c r="H36" i="1"/>
  <c r="J36" i="1" s="1"/>
  <c r="D36" i="1"/>
  <c r="H35" i="1"/>
  <c r="J35" i="1" s="1"/>
  <c r="D35" i="1"/>
  <c r="H34" i="1"/>
  <c r="J34" i="1" s="1"/>
  <c r="D34" i="1"/>
  <c r="H33" i="1"/>
  <c r="J33" i="1" s="1"/>
  <c r="D33" i="1"/>
  <c r="H32" i="1"/>
  <c r="J32" i="1" s="1"/>
  <c r="D32" i="1"/>
  <c r="H31" i="1"/>
  <c r="I31" i="1" s="1"/>
  <c r="J31" i="1" s="1"/>
  <c r="D31" i="1"/>
  <c r="H30" i="1"/>
  <c r="I30" i="1" s="1"/>
  <c r="J30" i="1" s="1"/>
  <c r="D30" i="1"/>
  <c r="H29" i="1"/>
  <c r="I29" i="1" s="1"/>
  <c r="J29" i="1" s="1"/>
  <c r="D29" i="1"/>
  <c r="H28" i="1"/>
  <c r="I28" i="1" s="1"/>
  <c r="J28" i="1" s="1"/>
  <c r="D28" i="1"/>
  <c r="H27" i="1"/>
  <c r="I27" i="1" s="1"/>
  <c r="J27" i="1" s="1"/>
  <c r="D27" i="1"/>
  <c r="H26" i="1"/>
  <c r="I26" i="1" s="1"/>
  <c r="J26" i="1" s="1"/>
  <c r="D26" i="1"/>
  <c r="H25" i="1"/>
  <c r="I25" i="1" s="1"/>
  <c r="J25" i="1" s="1"/>
  <c r="D25" i="1"/>
  <c r="H24" i="1"/>
  <c r="J24" i="1" s="1"/>
  <c r="D24" i="1"/>
  <c r="H23" i="1"/>
  <c r="J23" i="1" s="1"/>
  <c r="D23" i="1"/>
  <c r="H22" i="1"/>
  <c r="I22" i="1" s="1"/>
  <c r="J22" i="1" s="1"/>
  <c r="D22" i="1"/>
  <c r="H21" i="1"/>
  <c r="J21" i="1" s="1"/>
  <c r="D21" i="1"/>
  <c r="H20" i="1"/>
  <c r="J20" i="1" s="1"/>
  <c r="D20" i="1"/>
  <c r="H19" i="1"/>
  <c r="J19" i="1" s="1"/>
  <c r="D19" i="1"/>
  <c r="H18" i="1"/>
  <c r="I18" i="1" s="1"/>
  <c r="J18" i="1" s="1"/>
  <c r="D18" i="1"/>
  <c r="H17" i="1"/>
  <c r="I17" i="1" s="1"/>
  <c r="J17" i="1" s="1"/>
  <c r="D17" i="1"/>
  <c r="H16" i="1"/>
  <c r="J16" i="1" s="1"/>
  <c r="D16" i="1"/>
  <c r="H15" i="1"/>
  <c r="J15" i="1" s="1"/>
  <c r="D15" i="1"/>
  <c r="H14" i="1"/>
  <c r="J14" i="1" s="1"/>
  <c r="D14" i="1"/>
  <c r="H13" i="1"/>
  <c r="J13" i="1" s="1"/>
  <c r="D13" i="1"/>
  <c r="H12" i="1"/>
  <c r="J12" i="1" s="1"/>
  <c r="D12" i="1"/>
  <c r="H11" i="1"/>
  <c r="J11" i="1" s="1"/>
  <c r="D11" i="1"/>
  <c r="H10" i="1"/>
  <c r="J10" i="1" s="1"/>
  <c r="D10" i="1"/>
  <c r="J9" i="1"/>
  <c r="D9" i="1"/>
  <c r="H8" i="1"/>
  <c r="J8" i="1" s="1"/>
  <c r="D8" i="1"/>
  <c r="H7" i="1"/>
  <c r="J7" i="1" s="1"/>
  <c r="D7" i="1"/>
  <c r="H6" i="1"/>
  <c r="J6" i="1" s="1"/>
  <c r="D6" i="1"/>
  <c r="H5" i="1"/>
  <c r="J5" i="1" s="1"/>
  <c r="D5" i="1"/>
  <c r="H4" i="1"/>
  <c r="J4" i="1" s="1"/>
  <c r="D4" i="1"/>
  <c r="H3" i="1"/>
  <c r="J3" i="1" s="1"/>
  <c r="D3" i="1"/>
</calcChain>
</file>

<file path=xl/sharedStrings.xml><?xml version="1.0" encoding="utf-8"?>
<sst xmlns="http://schemas.openxmlformats.org/spreadsheetml/2006/main" count="141" uniqueCount="140">
  <si>
    <t>Marže obchodníka: 50 % | Přirážka: 100 %</t>
  </si>
  <si>
    <t>Kod</t>
  </si>
  <si>
    <t xml:space="preserve">Položka </t>
  </si>
  <si>
    <t>NC naše</t>
  </si>
  <si>
    <t>naše marže</t>
  </si>
  <si>
    <t>PC VO</t>
  </si>
  <si>
    <t>Krabička</t>
  </si>
  <si>
    <t>NC zákazník</t>
  </si>
  <si>
    <t xml:space="preserve">MOC </t>
  </si>
  <si>
    <t>Marže +50%</t>
  </si>
  <si>
    <t>EAN</t>
  </si>
  <si>
    <t>JEHLY ORGAN UNIVERSAL 10ks</t>
  </si>
  <si>
    <t>8590580899993</t>
  </si>
  <si>
    <t>JEHLY ORGAN JEANS MIX 5ks</t>
  </si>
  <si>
    <t>8590580899986</t>
  </si>
  <si>
    <t>JEHLY ORGAN Super Stretch 75,5ks</t>
  </si>
  <si>
    <t>8590580899979</t>
  </si>
  <si>
    <t xml:space="preserve">JEHLY RUČNÍ KOŠÍČEK ORIGINÁL </t>
  </si>
  <si>
    <t>8590580899962</t>
  </si>
  <si>
    <t>ŠPENDLÍK SKLENĚNÁ HLAVIČKA 10g</t>
  </si>
  <si>
    <t>8590580899955</t>
  </si>
  <si>
    <t>ŠPENDLÍK PLAST.HLAV.BÍLÁ 80ks</t>
  </si>
  <si>
    <t>8590580899948</t>
  </si>
  <si>
    <t>ŠPENDLÍK ZAVÍRACÍ MIX 1-3, NIKL+LAK</t>
  </si>
  <si>
    <t>8590580899931</t>
  </si>
  <si>
    <t>SUCHÝ ZIP 2 cm, ODSTŘIH 20 CM, ČERNÁ+BÍLÁ</t>
  </si>
  <si>
    <t>8590580899924</t>
  </si>
  <si>
    <t>KNOFLÍK PROPÍNACÍ LOŽNÍ PRÁDLO 14 kusů</t>
  </si>
  <si>
    <t>8590580899887</t>
  </si>
  <si>
    <t>KNOFLÍK MANDLOVACÍ 18 mm, 20 kusů</t>
  </si>
  <si>
    <t>8590580899870</t>
  </si>
  <si>
    <t>KNOFLÍK MANDLOVACÍ 15 mm, 20 kusů</t>
  </si>
  <si>
    <t>8590580899863</t>
  </si>
  <si>
    <t>KREJČOVSKÝ METR 150 cm</t>
  </si>
  <si>
    <t>8590580899856</t>
  </si>
  <si>
    <t>NIT UNIPOLY 100 m, bílá,černá, modrá</t>
  </si>
  <si>
    <t>8590580899849</t>
  </si>
  <si>
    <t>NIT UNIPOLY 100 m, bílá</t>
  </si>
  <si>
    <t>8590580899832</t>
  </si>
  <si>
    <t>NIT UNIPOLY 100 m, černá</t>
  </si>
  <si>
    <t>8590580899825</t>
  </si>
  <si>
    <t>NIT LNĚNÁ KNOFLÍKOVÁ 50 m MIX</t>
  </si>
  <si>
    <t>8590580899818</t>
  </si>
  <si>
    <t>ZIP JEANS 20 cm, černý + tmavě modrý</t>
  </si>
  <si>
    <t>8590580899801</t>
  </si>
  <si>
    <t>ZIP SPIRÁLA 3 mm, 20 cm, černá, bílá</t>
  </si>
  <si>
    <t>8590580899795</t>
  </si>
  <si>
    <t>ZIP SPIRÁLA 3 mm, 40 cm, černá, bílá</t>
  </si>
  <si>
    <t>8590580899788</t>
  </si>
  <si>
    <t>8590580899771</t>
  </si>
  <si>
    <t xml:space="preserve">ZIP SPIRÁLA DĚLITELNÝ 5 mm, 75 cm </t>
  </si>
  <si>
    <t>8590580899764</t>
  </si>
  <si>
    <t>ZIP KOSTĚNÝ DĚLITELNÝ 5 mm, 80 cm</t>
  </si>
  <si>
    <t>8590580899757</t>
  </si>
  <si>
    <t>GUMA NA KARTĚ 8 mm, bílá</t>
  </si>
  <si>
    <t>8590580989977</t>
  </si>
  <si>
    <t>GUMA NA KARTĚ 8 mm, černá</t>
  </si>
  <si>
    <t>8590580989984</t>
  </si>
  <si>
    <t>GUMA NA KARTĚ 10 mm, bílá</t>
  </si>
  <si>
    <t>8590580899511</t>
  </si>
  <si>
    <t>GUMA NA KARTĚ 10 mm, černá</t>
  </si>
  <si>
    <t>8590580989472</t>
  </si>
  <si>
    <t xml:space="preserve"> </t>
  </si>
  <si>
    <t>GUMA NA KARTĚ 12 mm, bílá</t>
  </si>
  <si>
    <t>8590580989946</t>
  </si>
  <si>
    <t>GUMA NA KARTĚ 12 mm, černá</t>
  </si>
  <si>
    <t>8590580898939</t>
  </si>
  <si>
    <t>KEPROVKA NA KARTĚ 6 mm, bílá</t>
  </si>
  <si>
    <t>8590580899917</t>
  </si>
  <si>
    <t>ZÁPLATA ZAŽEHLOVACÍ VELKÁ 43 x 20 cm černá</t>
  </si>
  <si>
    <t>8590580989809</t>
  </si>
  <si>
    <t>ZÁPLATA ZAŽEHLOVACÍ VELKÁ 43 x 20 cm modrá</t>
  </si>
  <si>
    <t>8590580989793</t>
  </si>
  <si>
    <t>ZÁPLATA ZAŽEHLOVACÍ VELKÁ 43 x 20 cm bílá</t>
  </si>
  <si>
    <t>8590580989786</t>
  </si>
  <si>
    <t>TKANIČKY KULATÉ 4 mm, 100% PES, 90 cm, MIX BAREV</t>
  </si>
  <si>
    <t>8590580899894</t>
  </si>
  <si>
    <t>8590580899740</t>
  </si>
  <si>
    <t>TKANIČKY PLOCHÉ 6 mm, 100% PES, 90 cm, MIX BAREV</t>
  </si>
  <si>
    <t>8590580899603</t>
  </si>
  <si>
    <t>TKANIČKY PLOCHÉ 7 mm, 100% PES, 130 cm, MIX BAREV</t>
  </si>
  <si>
    <t>8590580899597</t>
  </si>
  <si>
    <t>8590580899580</t>
  </si>
  <si>
    <t>8590580899573</t>
  </si>
  <si>
    <t>RUČNÍ JEHLY 20 kusů + NAVLÉKAČ</t>
  </si>
  <si>
    <t>8590580899566</t>
  </si>
  <si>
    <t xml:space="preserve">RUČNÍ JEHLY NA PLACHTY  </t>
  </si>
  <si>
    <t>8590580899559</t>
  </si>
  <si>
    <t>RUČNÍ JEHLY NA KOBERCE</t>
  </si>
  <si>
    <t>8590580899542</t>
  </si>
  <si>
    <t>Obrázky</t>
  </si>
  <si>
    <t>S276921</t>
  </si>
  <si>
    <t>S276922</t>
  </si>
  <si>
    <t>S80415</t>
  </si>
  <si>
    <t>S80398</t>
  </si>
  <si>
    <t>S660085</t>
  </si>
  <si>
    <t>S80412</t>
  </si>
  <si>
    <t>S235</t>
  </si>
  <si>
    <t>S199</t>
  </si>
  <si>
    <t>S830040</t>
  </si>
  <si>
    <t>S830462</t>
  </si>
  <si>
    <t>S700808</t>
  </si>
  <si>
    <t>S314</t>
  </si>
  <si>
    <t>S661620</t>
  </si>
  <si>
    <t>S76</t>
  </si>
  <si>
    <t>S100</t>
  </si>
  <si>
    <t>S1020</t>
  </si>
  <si>
    <t>S1075</t>
  </si>
  <si>
    <t>S5080</t>
  </si>
  <si>
    <t>S559</t>
  </si>
  <si>
    <t>S9901</t>
  </si>
  <si>
    <t>S9902</t>
  </si>
  <si>
    <t>S9903</t>
  </si>
  <si>
    <t>S9904</t>
  </si>
  <si>
    <t>S9906</t>
  </si>
  <si>
    <t>S80394</t>
  </si>
  <si>
    <t>S80399</t>
  </si>
  <si>
    <t>S80400</t>
  </si>
  <si>
    <t>S830095</t>
  </si>
  <si>
    <t>S224004-1</t>
  </si>
  <si>
    <t>S224004-2</t>
  </si>
  <si>
    <t>S224004-3</t>
  </si>
  <si>
    <t>S342-1</t>
  </si>
  <si>
    <t>S342-2</t>
  </si>
  <si>
    <t>S304-1</t>
  </si>
  <si>
    <t>S668-2</t>
  </si>
  <si>
    <t>S344-1</t>
  </si>
  <si>
    <t>S344-2</t>
  </si>
  <si>
    <t>S344-3</t>
  </si>
  <si>
    <t>S668-1</t>
  </si>
  <si>
    <t xml:space="preserve">ZIP SPIRÁLA NEDĚLITELNÝ 5 mm, 2 černý x 20 cm </t>
  </si>
  <si>
    <t>S304-2</t>
  </si>
  <si>
    <t>TKANIČKY KULATÉ 6 mm, 100% PES, 120 cm, MIX BAREV</t>
  </si>
  <si>
    <t>TKANIČKY KULATÉ 3 mm, 100% BA, 80 cm, MIX BAREV</t>
  </si>
  <si>
    <t>TKANIČKY PLOCHÉ 7 mm, 100% BA, 120 cm, MIX BAREV</t>
  </si>
  <si>
    <t>ZISK</t>
  </si>
  <si>
    <t xml:space="preserve">Drátěný stojan </t>
  </si>
  <si>
    <t>Háčky</t>
  </si>
  <si>
    <t xml:space="preserve">KAŽDÁ DALŠÍ OBJEDNÁVKA 1200 Kč/průměr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</si>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</sst>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6" x14ac:knownFonts="1">
    <font>
      <sz val="11"/>
      <color theme="1"/>
      <name val="Aptos Narrow"/>
      <family val="2"/>
      <charset val="238"/>
      <scheme val="minor"/>
    </font>
    <font>
      <sz val="8"/>
      <color rgb="FF3D3D3A"/>
      <name val="Segoe UI"/>
      <family val="2"/>
      <charset val="238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3"/>
      <color rgb="FFE3E3E3"/>
      <name val="Arial"/>
      <family val="2"/>
      <charset val="238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37712</xdr:colOff>
      <xdr:row>2</xdr:row>
      <xdr:rowOff>27410</xdr:rowOff>
    </xdr:from>
    <xdr:to>
      <xdr:col>6</xdr:col>
      <xdr:colOff>767236</xdr:colOff>
      <xdr:row>2</xdr:row>
      <xdr:rowOff>747410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5E6E0656-2DF4-16C5-4B4D-89019726A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171" y="474502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3</xdr:row>
      <xdr:rowOff>37323</xdr:rowOff>
    </xdr:from>
    <xdr:to>
      <xdr:col>6</xdr:col>
      <xdr:colOff>777149</xdr:colOff>
      <xdr:row>3</xdr:row>
      <xdr:rowOff>757323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162FD15D-1CC5-F581-C20A-3BD12C4D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084" y="1271685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38880</xdr:colOff>
      <xdr:row>4</xdr:row>
      <xdr:rowOff>36548</xdr:rowOff>
    </xdr:from>
    <xdr:to>
      <xdr:col>6</xdr:col>
      <xdr:colOff>788037</xdr:colOff>
      <xdr:row>4</xdr:row>
      <xdr:rowOff>756548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2AF61D2F-ECC4-F905-FCF9-2D9F123E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339" y="2058181"/>
          <a:ext cx="749157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56568</xdr:colOff>
      <xdr:row>5</xdr:row>
      <xdr:rowOff>46458</xdr:rowOff>
    </xdr:from>
    <xdr:to>
      <xdr:col>6</xdr:col>
      <xdr:colOff>776568</xdr:colOff>
      <xdr:row>5</xdr:row>
      <xdr:rowOff>766458</xdr:rowOff>
    </xdr:to>
    <xdr:pic>
      <xdr:nvPicPr>
        <xdr:cNvPr id="13" name="Obrázek 12">
          <a:extLst>
            <a:ext uri="{FF2B5EF4-FFF2-40B4-BE49-F238E27FC236}">
              <a16:creationId xmlns:a16="http://schemas.microsoft.com/office/drawing/2014/main" id="{1E1BB91F-63B8-3D86-C1FF-8D52E0F4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7027" y="2855361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6</xdr:row>
      <xdr:rowOff>36742</xdr:rowOff>
    </xdr:from>
    <xdr:to>
      <xdr:col>6</xdr:col>
      <xdr:colOff>767625</xdr:colOff>
      <xdr:row>6</xdr:row>
      <xdr:rowOff>756742</xdr:rowOff>
    </xdr:to>
    <xdr:pic>
      <xdr:nvPicPr>
        <xdr:cNvPr id="15" name="Obrázek 14">
          <a:extLst>
            <a:ext uri="{FF2B5EF4-FFF2-40B4-BE49-F238E27FC236}">
              <a16:creationId xmlns:a16="http://schemas.microsoft.com/office/drawing/2014/main" id="{297530F9-0ED3-2FC4-7ACE-4FBF56398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084" y="363291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41772</xdr:colOff>
      <xdr:row>7</xdr:row>
      <xdr:rowOff>34083</xdr:rowOff>
    </xdr:from>
    <xdr:to>
      <xdr:col>6</xdr:col>
      <xdr:colOff>761772</xdr:colOff>
      <xdr:row>7</xdr:row>
      <xdr:rowOff>758650</xdr:rowOff>
    </xdr:to>
    <xdr:pic>
      <xdr:nvPicPr>
        <xdr:cNvPr id="17" name="Obrázek 16">
          <a:extLst>
            <a:ext uri="{FF2B5EF4-FFF2-40B4-BE49-F238E27FC236}">
              <a16:creationId xmlns:a16="http://schemas.microsoft.com/office/drawing/2014/main" id="{327D6785-2400-A270-B5B3-C61AF887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573" y="4440830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8</xdr:row>
      <xdr:rowOff>37870</xdr:rowOff>
    </xdr:from>
    <xdr:to>
      <xdr:col>6</xdr:col>
      <xdr:colOff>758100</xdr:colOff>
      <xdr:row>8</xdr:row>
      <xdr:rowOff>762437</xdr:rowOff>
    </xdr:to>
    <xdr:pic>
      <xdr:nvPicPr>
        <xdr:cNvPr id="19" name="Obrázek 18">
          <a:extLst>
            <a:ext uri="{FF2B5EF4-FFF2-40B4-BE49-F238E27FC236}">
              <a16:creationId xmlns:a16="http://schemas.microsoft.com/office/drawing/2014/main" id="{AA6E36CA-D50B-3560-18DD-0310AD74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5236454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36149</xdr:colOff>
      <xdr:row>9</xdr:row>
      <xdr:rowOff>37985</xdr:rowOff>
    </xdr:from>
    <xdr:to>
      <xdr:col>6</xdr:col>
      <xdr:colOff>1125933</xdr:colOff>
      <xdr:row>9</xdr:row>
      <xdr:rowOff>757985</xdr:rowOff>
    </xdr:to>
    <xdr:pic>
      <xdr:nvPicPr>
        <xdr:cNvPr id="21" name="Obrázek 20">
          <a:extLst>
            <a:ext uri="{FF2B5EF4-FFF2-40B4-BE49-F238E27FC236}">
              <a16:creationId xmlns:a16="http://schemas.microsoft.com/office/drawing/2014/main" id="{60AC2245-0112-CC73-43C5-8AF9F88CA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950" y="6028407"/>
          <a:ext cx="108978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34313</xdr:colOff>
      <xdr:row>10</xdr:row>
      <xdr:rowOff>34313</xdr:rowOff>
    </xdr:from>
    <xdr:to>
      <xdr:col>6</xdr:col>
      <xdr:colOff>754313</xdr:colOff>
      <xdr:row>10</xdr:row>
      <xdr:rowOff>754313</xdr:rowOff>
    </xdr:to>
    <xdr:pic>
      <xdr:nvPicPr>
        <xdr:cNvPr id="23" name="Obrázek 22">
          <a:extLst>
            <a:ext uri="{FF2B5EF4-FFF2-40B4-BE49-F238E27FC236}">
              <a16:creationId xmlns:a16="http://schemas.microsoft.com/office/drawing/2014/main" id="{4B0429F5-100B-7282-3706-DF61D40D5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114" y="681657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11</xdr:row>
      <xdr:rowOff>30296</xdr:rowOff>
    </xdr:from>
    <xdr:to>
      <xdr:col>6</xdr:col>
      <xdr:colOff>748575</xdr:colOff>
      <xdr:row>11</xdr:row>
      <xdr:rowOff>754864</xdr:rowOff>
    </xdr:to>
    <xdr:pic>
      <xdr:nvPicPr>
        <xdr:cNvPr id="25" name="Obrázek 24">
          <a:extLst>
            <a:ext uri="{FF2B5EF4-FFF2-40B4-BE49-F238E27FC236}">
              <a16:creationId xmlns:a16="http://schemas.microsoft.com/office/drawing/2014/main" id="{0D8713EB-43C2-7FF9-CD48-DB0CCAC0F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376" y="7604392"/>
          <a:ext cx="720000" cy="724568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12</xdr:row>
      <xdr:rowOff>35919</xdr:rowOff>
    </xdr:from>
    <xdr:to>
      <xdr:col>6</xdr:col>
      <xdr:colOff>758100</xdr:colOff>
      <xdr:row>12</xdr:row>
      <xdr:rowOff>760486</xdr:rowOff>
    </xdr:to>
    <xdr:pic>
      <xdr:nvPicPr>
        <xdr:cNvPr id="27" name="Obrázek 26">
          <a:extLst>
            <a:ext uri="{FF2B5EF4-FFF2-40B4-BE49-F238E27FC236}">
              <a16:creationId xmlns:a16="http://schemas.microsoft.com/office/drawing/2014/main" id="{FB55E1CE-85ED-6B43-8870-01E34C53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8401853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13</xdr:row>
      <xdr:rowOff>32247</xdr:rowOff>
    </xdr:from>
    <xdr:to>
      <xdr:col>6</xdr:col>
      <xdr:colOff>758100</xdr:colOff>
      <xdr:row>13</xdr:row>
      <xdr:rowOff>752247</xdr:rowOff>
    </xdr:to>
    <xdr:pic>
      <xdr:nvPicPr>
        <xdr:cNvPr id="29" name="Obrázek 28">
          <a:extLst>
            <a:ext uri="{FF2B5EF4-FFF2-40B4-BE49-F238E27FC236}">
              <a16:creationId xmlns:a16="http://schemas.microsoft.com/office/drawing/2014/main" id="{EBF19A36-6AFD-EB19-5586-43965E5E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9190018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37985</xdr:colOff>
      <xdr:row>15</xdr:row>
      <xdr:rowOff>34083</xdr:rowOff>
    </xdr:from>
    <xdr:to>
      <xdr:col>6</xdr:col>
      <xdr:colOff>757985</xdr:colOff>
      <xdr:row>15</xdr:row>
      <xdr:rowOff>758649</xdr:rowOff>
    </xdr:to>
    <xdr:pic>
      <xdr:nvPicPr>
        <xdr:cNvPr id="31" name="Obrázek 30">
          <a:extLst>
            <a:ext uri="{FF2B5EF4-FFF2-40B4-BE49-F238E27FC236}">
              <a16:creationId xmlns:a16="http://schemas.microsoft.com/office/drawing/2014/main" id="{966868F7-35CD-9ABD-2CE3-D3ED4C7E5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786" y="10775529"/>
          <a:ext cx="720000" cy="724566"/>
        </a:xfrm>
        <a:prstGeom prst="rect">
          <a:avLst/>
        </a:prstGeom>
      </xdr:spPr>
    </xdr:pic>
    <xdr:clientData/>
  </xdr:twoCellAnchor>
  <xdr:twoCellAnchor editAs="oneCell">
    <xdr:from>
      <xdr:col>6</xdr:col>
      <xdr:colOff>41887</xdr:colOff>
      <xdr:row>16</xdr:row>
      <xdr:rowOff>30296</xdr:rowOff>
    </xdr:from>
    <xdr:to>
      <xdr:col>6</xdr:col>
      <xdr:colOff>761887</xdr:colOff>
      <xdr:row>16</xdr:row>
      <xdr:rowOff>754863</xdr:rowOff>
    </xdr:to>
    <xdr:pic>
      <xdr:nvPicPr>
        <xdr:cNvPr id="33" name="Obrázek 32">
          <a:extLst>
            <a:ext uri="{FF2B5EF4-FFF2-40B4-BE49-F238E27FC236}">
              <a16:creationId xmlns:a16="http://schemas.microsoft.com/office/drawing/2014/main" id="{E0FADE93-4E50-A5D4-2A4C-F2FDD6108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688" y="11563579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39936</xdr:colOff>
      <xdr:row>14</xdr:row>
      <xdr:rowOff>30411</xdr:rowOff>
    </xdr:from>
    <xdr:to>
      <xdr:col>6</xdr:col>
      <xdr:colOff>759936</xdr:colOff>
      <xdr:row>14</xdr:row>
      <xdr:rowOff>750411</xdr:rowOff>
    </xdr:to>
    <xdr:pic>
      <xdr:nvPicPr>
        <xdr:cNvPr id="35" name="Obrázek 34">
          <a:extLst>
            <a:ext uri="{FF2B5EF4-FFF2-40B4-BE49-F238E27FC236}">
              <a16:creationId xmlns:a16="http://schemas.microsoft.com/office/drawing/2014/main" id="{684C2668-D102-BB30-ECFF-EBBC2B2E4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737" y="998001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51412</xdr:colOff>
      <xdr:row>17</xdr:row>
      <xdr:rowOff>26509</xdr:rowOff>
    </xdr:from>
    <xdr:to>
      <xdr:col>6</xdr:col>
      <xdr:colOff>771412</xdr:colOff>
      <xdr:row>17</xdr:row>
      <xdr:rowOff>746509</xdr:rowOff>
    </xdr:to>
    <xdr:pic>
      <xdr:nvPicPr>
        <xdr:cNvPr id="37" name="Obrázek 36">
          <a:extLst>
            <a:ext uri="{FF2B5EF4-FFF2-40B4-BE49-F238E27FC236}">
              <a16:creationId xmlns:a16="http://schemas.microsoft.com/office/drawing/2014/main" id="{87B871E5-7A93-D002-05F3-6CF4D3D4A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4213" y="1235162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45674</xdr:colOff>
      <xdr:row>18</xdr:row>
      <xdr:rowOff>36149</xdr:rowOff>
    </xdr:from>
    <xdr:to>
      <xdr:col>6</xdr:col>
      <xdr:colOff>765674</xdr:colOff>
      <xdr:row>18</xdr:row>
      <xdr:rowOff>756149</xdr:rowOff>
    </xdr:to>
    <xdr:pic>
      <xdr:nvPicPr>
        <xdr:cNvPr id="39" name="Obrázek 38">
          <a:extLst>
            <a:ext uri="{FF2B5EF4-FFF2-40B4-BE49-F238E27FC236}">
              <a16:creationId xmlns:a16="http://schemas.microsoft.com/office/drawing/2014/main" id="{5B17277C-C44A-9957-D28F-00ED8DE3A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475" y="1315310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45674</xdr:colOff>
      <xdr:row>19</xdr:row>
      <xdr:rowOff>32247</xdr:rowOff>
    </xdr:from>
    <xdr:to>
      <xdr:col>6</xdr:col>
      <xdr:colOff>765674</xdr:colOff>
      <xdr:row>19</xdr:row>
      <xdr:rowOff>752247</xdr:rowOff>
    </xdr:to>
    <xdr:pic>
      <xdr:nvPicPr>
        <xdr:cNvPr id="41" name="Obrázek 40">
          <a:extLst>
            <a:ext uri="{FF2B5EF4-FFF2-40B4-BE49-F238E27FC236}">
              <a16:creationId xmlns:a16="http://schemas.microsoft.com/office/drawing/2014/main" id="{84C0A375-08D0-E758-4C91-0D9F998D7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475" y="1394104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39936</xdr:colOff>
      <xdr:row>20</xdr:row>
      <xdr:rowOff>36149</xdr:rowOff>
    </xdr:from>
    <xdr:to>
      <xdr:col>6</xdr:col>
      <xdr:colOff>759936</xdr:colOff>
      <xdr:row>20</xdr:row>
      <xdr:rowOff>756149</xdr:rowOff>
    </xdr:to>
    <xdr:pic>
      <xdr:nvPicPr>
        <xdr:cNvPr id="43" name="Obrázek 42">
          <a:extLst>
            <a:ext uri="{FF2B5EF4-FFF2-40B4-BE49-F238E27FC236}">
              <a16:creationId xmlns:a16="http://schemas.microsoft.com/office/drawing/2014/main" id="{BAC5FE67-68A4-B056-6CD7-828A50A5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737" y="1473678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21</xdr:row>
      <xdr:rowOff>38100</xdr:rowOff>
    </xdr:from>
    <xdr:to>
      <xdr:col>6</xdr:col>
      <xdr:colOff>767625</xdr:colOff>
      <xdr:row>21</xdr:row>
      <xdr:rowOff>758100</xdr:rowOff>
    </xdr:to>
    <xdr:pic>
      <xdr:nvPicPr>
        <xdr:cNvPr id="45" name="Obrázek 44">
          <a:extLst>
            <a:ext uri="{FF2B5EF4-FFF2-40B4-BE49-F238E27FC236}">
              <a16:creationId xmlns:a16="http://schemas.microsoft.com/office/drawing/2014/main" id="{EC4CE597-6B0E-640F-476C-7DD8377E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167068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22</xdr:row>
      <xdr:rowOff>38100</xdr:rowOff>
    </xdr:from>
    <xdr:to>
      <xdr:col>6</xdr:col>
      <xdr:colOff>758100</xdr:colOff>
      <xdr:row>22</xdr:row>
      <xdr:rowOff>758100</xdr:rowOff>
    </xdr:to>
    <xdr:pic>
      <xdr:nvPicPr>
        <xdr:cNvPr id="47" name="Obrázek 46">
          <a:extLst>
            <a:ext uri="{FF2B5EF4-FFF2-40B4-BE49-F238E27FC236}">
              <a16:creationId xmlns:a16="http://schemas.microsoft.com/office/drawing/2014/main" id="{19CE3566-EB7B-BDBB-906F-AD8970067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175641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23</xdr:row>
      <xdr:rowOff>26624</xdr:rowOff>
    </xdr:from>
    <xdr:to>
      <xdr:col>6</xdr:col>
      <xdr:colOff>758100</xdr:colOff>
      <xdr:row>23</xdr:row>
      <xdr:rowOff>746624</xdr:rowOff>
    </xdr:to>
    <xdr:pic>
      <xdr:nvPicPr>
        <xdr:cNvPr id="49" name="Obrázek 48">
          <a:extLst>
            <a:ext uri="{FF2B5EF4-FFF2-40B4-BE49-F238E27FC236}">
              <a16:creationId xmlns:a16="http://schemas.microsoft.com/office/drawing/2014/main" id="{A128395E-ACB1-75D1-49AB-114DC2424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1710276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24</xdr:row>
      <xdr:rowOff>38100</xdr:rowOff>
    </xdr:from>
    <xdr:to>
      <xdr:col>6</xdr:col>
      <xdr:colOff>758100</xdr:colOff>
      <xdr:row>24</xdr:row>
      <xdr:rowOff>758100</xdr:rowOff>
    </xdr:to>
    <xdr:pic>
      <xdr:nvPicPr>
        <xdr:cNvPr id="51" name="Obrázek 50">
          <a:extLst>
            <a:ext uri="{FF2B5EF4-FFF2-40B4-BE49-F238E27FC236}">
              <a16:creationId xmlns:a16="http://schemas.microsoft.com/office/drawing/2014/main" id="{3EE1C792-148A-B83E-B176-235D7FAA3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192786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25</xdr:row>
      <xdr:rowOff>28575</xdr:rowOff>
    </xdr:from>
    <xdr:to>
      <xdr:col>6</xdr:col>
      <xdr:colOff>758100</xdr:colOff>
      <xdr:row>25</xdr:row>
      <xdr:rowOff>748575</xdr:rowOff>
    </xdr:to>
    <xdr:pic>
      <xdr:nvPicPr>
        <xdr:cNvPr id="53" name="Obrázek 52">
          <a:extLst>
            <a:ext uri="{FF2B5EF4-FFF2-40B4-BE49-F238E27FC236}">
              <a16:creationId xmlns:a16="http://schemas.microsoft.com/office/drawing/2014/main" id="{17A21FAE-DB4B-5BBA-12D1-98C74E9E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012632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40051</xdr:colOff>
      <xdr:row>26</xdr:row>
      <xdr:rowOff>28574</xdr:rowOff>
    </xdr:from>
    <xdr:to>
      <xdr:col>6</xdr:col>
      <xdr:colOff>769575</xdr:colOff>
      <xdr:row>26</xdr:row>
      <xdr:rowOff>748574</xdr:rowOff>
    </xdr:to>
    <xdr:pic>
      <xdr:nvPicPr>
        <xdr:cNvPr id="55" name="Obrázek 54">
          <a:extLst>
            <a:ext uri="{FF2B5EF4-FFF2-40B4-BE49-F238E27FC236}">
              <a16:creationId xmlns:a16="http://schemas.microsoft.com/office/drawing/2014/main" id="{A250D6DE-0AF3-D713-7D8A-1F6D94A98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852" y="19480231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27</xdr:row>
      <xdr:rowOff>28575</xdr:rowOff>
    </xdr:from>
    <xdr:to>
      <xdr:col>6</xdr:col>
      <xdr:colOff>758100</xdr:colOff>
      <xdr:row>27</xdr:row>
      <xdr:rowOff>748575</xdr:rowOff>
    </xdr:to>
    <xdr:pic>
      <xdr:nvPicPr>
        <xdr:cNvPr id="57" name="Obrázek 56">
          <a:extLst>
            <a:ext uri="{FF2B5EF4-FFF2-40B4-BE49-F238E27FC236}">
              <a16:creationId xmlns:a16="http://schemas.microsoft.com/office/drawing/2014/main" id="{7A8C2DC3-B67D-589F-3F90-CD904F34D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184082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28</xdr:row>
      <xdr:rowOff>28575</xdr:rowOff>
    </xdr:from>
    <xdr:to>
      <xdr:col>6</xdr:col>
      <xdr:colOff>758100</xdr:colOff>
      <xdr:row>28</xdr:row>
      <xdr:rowOff>748575</xdr:rowOff>
    </xdr:to>
    <xdr:pic>
      <xdr:nvPicPr>
        <xdr:cNvPr id="59" name="Obrázek 58">
          <a:extLst>
            <a:ext uri="{FF2B5EF4-FFF2-40B4-BE49-F238E27FC236}">
              <a16:creationId xmlns:a16="http://schemas.microsoft.com/office/drawing/2014/main" id="{33DA7C13-7EF5-0C1A-7B69-BC591FFD1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26980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29</xdr:row>
      <xdr:rowOff>38100</xdr:rowOff>
    </xdr:from>
    <xdr:to>
      <xdr:col>6</xdr:col>
      <xdr:colOff>758100</xdr:colOff>
      <xdr:row>29</xdr:row>
      <xdr:rowOff>758100</xdr:rowOff>
    </xdr:to>
    <xdr:pic>
      <xdr:nvPicPr>
        <xdr:cNvPr id="61" name="Obrázek 60">
          <a:extLst>
            <a:ext uri="{FF2B5EF4-FFF2-40B4-BE49-F238E27FC236}">
              <a16:creationId xmlns:a16="http://schemas.microsoft.com/office/drawing/2014/main" id="{5F85DBF6-8408-383F-2145-988AB684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35648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30</xdr:row>
      <xdr:rowOff>28575</xdr:rowOff>
    </xdr:from>
    <xdr:to>
      <xdr:col>6</xdr:col>
      <xdr:colOff>758100</xdr:colOff>
      <xdr:row>30</xdr:row>
      <xdr:rowOff>748575</xdr:rowOff>
    </xdr:to>
    <xdr:pic>
      <xdr:nvPicPr>
        <xdr:cNvPr id="63" name="Obrázek 62">
          <a:extLst>
            <a:ext uri="{FF2B5EF4-FFF2-40B4-BE49-F238E27FC236}">
              <a16:creationId xmlns:a16="http://schemas.microsoft.com/office/drawing/2014/main" id="{8BE5D4B4-E484-2D51-9119-0AD62291B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44125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35317</xdr:colOff>
      <xdr:row>33</xdr:row>
      <xdr:rowOff>38880</xdr:rowOff>
    </xdr:from>
    <xdr:to>
      <xdr:col>6</xdr:col>
      <xdr:colOff>589268</xdr:colOff>
      <xdr:row>33</xdr:row>
      <xdr:rowOff>758880</xdr:rowOff>
    </xdr:to>
    <xdr:pic>
      <xdr:nvPicPr>
        <xdr:cNvPr id="65" name="Obrázek 64">
          <a:extLst>
            <a:ext uri="{FF2B5EF4-FFF2-40B4-BE49-F238E27FC236}">
              <a16:creationId xmlns:a16="http://schemas.microsoft.com/office/drawing/2014/main" id="{6E2F63C5-18B7-894E-15DE-BA6FF2D17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5776" y="25231533"/>
          <a:ext cx="553951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48599</xdr:colOff>
      <xdr:row>31</xdr:row>
      <xdr:rowOff>48596</xdr:rowOff>
    </xdr:from>
    <xdr:to>
      <xdr:col>6</xdr:col>
      <xdr:colOff>596703</xdr:colOff>
      <xdr:row>31</xdr:row>
      <xdr:rowOff>768596</xdr:rowOff>
    </xdr:to>
    <xdr:pic>
      <xdr:nvPicPr>
        <xdr:cNvPr id="67" name="Obrázek 66">
          <a:extLst>
            <a:ext uri="{FF2B5EF4-FFF2-40B4-BE49-F238E27FC236}">
              <a16:creationId xmlns:a16="http://schemas.microsoft.com/office/drawing/2014/main" id="{87F26465-EEA0-AB24-2E51-5C62C818F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8" y="25241249"/>
          <a:ext cx="54810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29160</xdr:colOff>
      <xdr:row>32</xdr:row>
      <xdr:rowOff>29159</xdr:rowOff>
    </xdr:from>
    <xdr:to>
      <xdr:col>6</xdr:col>
      <xdr:colOff>576243</xdr:colOff>
      <xdr:row>32</xdr:row>
      <xdr:rowOff>749159</xdr:rowOff>
    </xdr:to>
    <xdr:pic>
      <xdr:nvPicPr>
        <xdr:cNvPr id="69" name="Obrázek 68">
          <a:extLst>
            <a:ext uri="{FF2B5EF4-FFF2-40B4-BE49-F238E27FC236}">
              <a16:creationId xmlns:a16="http://schemas.microsoft.com/office/drawing/2014/main" id="{46585CA5-4096-EABD-FF56-B1EF4A03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9619" y="26077118"/>
          <a:ext cx="547083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38880</xdr:colOff>
      <xdr:row>34</xdr:row>
      <xdr:rowOff>40464</xdr:rowOff>
    </xdr:from>
    <xdr:to>
      <xdr:col>6</xdr:col>
      <xdr:colOff>758880</xdr:colOff>
      <xdr:row>34</xdr:row>
      <xdr:rowOff>760464</xdr:rowOff>
    </xdr:to>
    <xdr:pic>
      <xdr:nvPicPr>
        <xdr:cNvPr id="71" name="Obrázek 70">
          <a:extLst>
            <a:ext uri="{FF2B5EF4-FFF2-40B4-BE49-F238E27FC236}">
              <a16:creationId xmlns:a16="http://schemas.microsoft.com/office/drawing/2014/main" id="{1D689302-C217-166F-193A-1026AD02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339" y="26807658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41109</xdr:colOff>
      <xdr:row>35</xdr:row>
      <xdr:rowOff>33138</xdr:rowOff>
    </xdr:from>
    <xdr:to>
      <xdr:col>6</xdr:col>
      <xdr:colOff>754576</xdr:colOff>
      <xdr:row>35</xdr:row>
      <xdr:rowOff>753138</xdr:rowOff>
    </xdr:to>
    <xdr:pic>
      <xdr:nvPicPr>
        <xdr:cNvPr id="73" name="Obrázek 72">
          <a:extLst>
            <a:ext uri="{FF2B5EF4-FFF2-40B4-BE49-F238E27FC236}">
              <a16:creationId xmlns:a16="http://schemas.microsoft.com/office/drawing/2014/main" id="{F3F034D9-9F04-BF1E-F15E-D0E8E311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910" y="26611331"/>
          <a:ext cx="713467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48597</xdr:colOff>
      <xdr:row>36</xdr:row>
      <xdr:rowOff>38876</xdr:rowOff>
    </xdr:from>
    <xdr:to>
      <xdr:col>6</xdr:col>
      <xdr:colOff>768597</xdr:colOff>
      <xdr:row>36</xdr:row>
      <xdr:rowOff>758876</xdr:rowOff>
    </xdr:to>
    <xdr:pic>
      <xdr:nvPicPr>
        <xdr:cNvPr id="75" name="Obrázek 74">
          <a:extLst>
            <a:ext uri="{FF2B5EF4-FFF2-40B4-BE49-F238E27FC236}">
              <a16:creationId xmlns:a16="http://schemas.microsoft.com/office/drawing/2014/main" id="{4B87D7E5-2CFA-14A0-E064-7F7222B62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6" y="28380611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41108</xdr:colOff>
      <xdr:row>37</xdr:row>
      <xdr:rowOff>50353</xdr:rowOff>
    </xdr:from>
    <xdr:to>
      <xdr:col>6</xdr:col>
      <xdr:colOff>761108</xdr:colOff>
      <xdr:row>37</xdr:row>
      <xdr:rowOff>742331</xdr:rowOff>
    </xdr:to>
    <xdr:pic>
      <xdr:nvPicPr>
        <xdr:cNvPr id="77" name="Obrázek 76">
          <a:extLst>
            <a:ext uri="{FF2B5EF4-FFF2-40B4-BE49-F238E27FC236}">
              <a16:creationId xmlns:a16="http://schemas.microsoft.com/office/drawing/2014/main" id="{66C6CF6E-6C26-028D-CA68-DE04D240E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909" y="28212220"/>
          <a:ext cx="720000" cy="691978"/>
        </a:xfrm>
        <a:prstGeom prst="rect">
          <a:avLst/>
        </a:prstGeom>
      </xdr:spPr>
    </xdr:pic>
    <xdr:clientData/>
  </xdr:twoCellAnchor>
  <xdr:twoCellAnchor editAs="oneCell">
    <xdr:from>
      <xdr:col>6</xdr:col>
      <xdr:colOff>48601</xdr:colOff>
      <xdr:row>38</xdr:row>
      <xdr:rowOff>38878</xdr:rowOff>
    </xdr:from>
    <xdr:to>
      <xdr:col>6</xdr:col>
      <xdr:colOff>768601</xdr:colOff>
      <xdr:row>38</xdr:row>
      <xdr:rowOff>758878</xdr:rowOff>
    </xdr:to>
    <xdr:pic>
      <xdr:nvPicPr>
        <xdr:cNvPr id="79" name="Obrázek 78">
          <a:extLst>
            <a:ext uri="{FF2B5EF4-FFF2-40B4-BE49-F238E27FC236}">
              <a16:creationId xmlns:a16="http://schemas.microsoft.com/office/drawing/2014/main" id="{8ABD64CD-4015-9C1E-CD15-CCBB174E4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60" y="29955154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48598</xdr:colOff>
      <xdr:row>39</xdr:row>
      <xdr:rowOff>33138</xdr:rowOff>
    </xdr:from>
    <xdr:to>
      <xdr:col>6</xdr:col>
      <xdr:colOff>768598</xdr:colOff>
      <xdr:row>39</xdr:row>
      <xdr:rowOff>753138</xdr:rowOff>
    </xdr:to>
    <xdr:pic>
      <xdr:nvPicPr>
        <xdr:cNvPr id="81" name="Obrázek 80">
          <a:extLst>
            <a:ext uri="{FF2B5EF4-FFF2-40B4-BE49-F238E27FC236}">
              <a16:creationId xmlns:a16="http://schemas.microsoft.com/office/drawing/2014/main" id="{295DAFC4-2E15-3B6D-E73B-9F4FC1E61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399" y="2977868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34898</xdr:colOff>
      <xdr:row>40</xdr:row>
      <xdr:rowOff>42857</xdr:rowOff>
    </xdr:from>
    <xdr:to>
      <xdr:col>6</xdr:col>
      <xdr:colOff>754898</xdr:colOff>
      <xdr:row>40</xdr:row>
      <xdr:rowOff>762857</xdr:rowOff>
    </xdr:to>
    <xdr:pic>
      <xdr:nvPicPr>
        <xdr:cNvPr id="83" name="Obrázek 82">
          <a:extLst>
            <a:ext uri="{FF2B5EF4-FFF2-40B4-BE49-F238E27FC236}">
              <a16:creationId xmlns:a16="http://schemas.microsoft.com/office/drawing/2014/main" id="{6E45EAF7-925B-01D7-B6E7-235E12792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699" y="3058023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48599</xdr:colOff>
      <xdr:row>41</xdr:row>
      <xdr:rowOff>34896</xdr:rowOff>
    </xdr:from>
    <xdr:to>
      <xdr:col>6</xdr:col>
      <xdr:colOff>768599</xdr:colOff>
      <xdr:row>41</xdr:row>
      <xdr:rowOff>754896</xdr:rowOff>
    </xdr:to>
    <xdr:pic>
      <xdr:nvPicPr>
        <xdr:cNvPr id="85" name="Obrázek 84">
          <a:extLst>
            <a:ext uri="{FF2B5EF4-FFF2-40B4-BE49-F238E27FC236}">
              <a16:creationId xmlns:a16="http://schemas.microsoft.com/office/drawing/2014/main" id="{0A97EFDE-BE46-1A94-1D90-1C89B4115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400" y="31364113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48598</xdr:colOff>
      <xdr:row>42</xdr:row>
      <xdr:rowOff>38877</xdr:rowOff>
    </xdr:from>
    <xdr:to>
      <xdr:col>6</xdr:col>
      <xdr:colOff>768598</xdr:colOff>
      <xdr:row>42</xdr:row>
      <xdr:rowOff>758877</xdr:rowOff>
    </xdr:to>
    <xdr:pic>
      <xdr:nvPicPr>
        <xdr:cNvPr id="87" name="Obrázek 86">
          <a:extLst>
            <a:ext uri="{FF2B5EF4-FFF2-40B4-BE49-F238E27FC236}">
              <a16:creationId xmlns:a16="http://schemas.microsoft.com/office/drawing/2014/main" id="{E7B742C8-DB3B-2355-958F-45595C02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7" y="32316964"/>
          <a:ext cx="720000" cy="720000"/>
        </a:xfrm>
        <a:prstGeom prst="rect">
          <a:avLst/>
        </a:prstGeom>
      </xdr:spPr>
    </xdr:pic>
    <xdr:clientData/>
  </xdr:twoCellAnchor>
  <xdr:oneCellAnchor>
    <xdr:from>
      <xdr:col>6</xdr:col>
      <xdr:colOff>621631</xdr:colOff>
      <xdr:row>8</xdr:row>
      <xdr:rowOff>461210</xdr:rowOff>
    </xdr:from>
    <xdr:ext cx="451855" cy="264560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27ADD4B4-4E71-4FB0-D981-2F895C884F95}"/>
            </a:ext>
          </a:extLst>
        </xdr:cNvPr>
        <xdr:cNvSpPr txBox="1"/>
      </xdr:nvSpPr>
      <xdr:spPr>
        <a:xfrm>
          <a:off x="4702342" y="5664868"/>
          <a:ext cx="4518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cs-CZ" sz="1100"/>
            <a:t>1 + 1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AD75-51B9-45B3-A28E-D9B2445E2091}">
  <dimension ref="A1:V48"/>
  <sheetViews>
    <sheetView tabSelected="1" topLeftCell="A26" zoomScale="95" zoomScaleNormal="95" workbookViewId="0">
      <selection activeCell="A30" sqref="A30:XFD30"/>
    </sheetView>
  </sheetViews>
  <sheetFormatPr defaultRowHeight="62.25" customHeight="1" x14ac:dyDescent="0.25"/>
  <cols>
    <col min="1" max="1" width="11.140625" style="1" customWidth="1"/>
    <col min="2" max="2" width="50.140625" style="2" customWidth="1"/>
    <col min="3" max="4" width="12.28515625" style="3" hidden="1" customWidth="1"/>
    <col min="5" max="5" width="14" style="3" hidden="1" customWidth="1"/>
    <col min="6" max="6" width="13" style="3" hidden="1" customWidth="1"/>
    <col min="7" max="7" width="17.140625" style="3" customWidth="1"/>
    <col min="8" max="8" width="11.28515625" style="3" customWidth="1"/>
    <col min="9" max="9" width="7.140625" style="3" customWidth="1"/>
    <col min="10" max="10" width="12" style="3" customWidth="1"/>
    <col min="11" max="11" width="17.85546875" style="5" customWidth="1"/>
    <col min="12" max="14" width="9.140625" style="3"/>
    <col min="15" max="16384" width="9.140625" style="2"/>
  </cols>
  <sheetData>
    <row r="1" spans="1:14" ht="19.5" customHeight="1" x14ac:dyDescent="0.25">
      <c r="H1" s="4"/>
      <c r="I1" s="4" t="s">
        <v>0</v>
      </c>
    </row>
    <row r="2" spans="1:14" ht="15.75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90</v>
      </c>
      <c r="H2" s="3" t="s">
        <v>7</v>
      </c>
      <c r="I2" s="3" t="s">
        <v>8</v>
      </c>
      <c r="J2" s="3" t="s">
        <v>9</v>
      </c>
      <c r="K2" s="5" t="s">
        <v>10</v>
      </c>
    </row>
    <row r="3" spans="1:14" s="14" customFormat="1" ht="62.25" customHeight="1" x14ac:dyDescent="0.25">
      <c r="A3" s="14" t="s">
        <v>91</v>
      </c>
      <c r="B3" s="14" t="s">
        <v>11</v>
      </c>
      <c r="C3" s="14">
        <v>22.63</v>
      </c>
      <c r="D3" s="14">
        <f>E3-C3</f>
        <v>11.309999999999999</v>
      </c>
      <c r="E3" s="14">
        <v>33.94</v>
      </c>
      <c r="F3" s="14">
        <v>5.5</v>
      </c>
      <c r="G3" s="20"/>
      <c r="H3" s="15">
        <f t="shared" ref="H3:H43" si="0">E3+F3</f>
        <v>39.44</v>
      </c>
      <c r="I3" s="16">
        <v>95.9</v>
      </c>
      <c r="J3" s="17">
        <f t="shared" ref="J3:J34" si="1">I3/1.21-H3</f>
        <v>39.816198347107445</v>
      </c>
      <c r="K3" s="18" t="s">
        <v>12</v>
      </c>
    </row>
    <row r="4" spans="1:14" s="14" customFormat="1" ht="62.25" customHeight="1" x14ac:dyDescent="0.25">
      <c r="A4" s="14" t="s">
        <v>92</v>
      </c>
      <c r="B4" s="14" t="s">
        <v>13</v>
      </c>
      <c r="C4" s="14">
        <v>17.02</v>
      </c>
      <c r="D4" s="14">
        <f t="shared" ref="D4:D43" si="2">E4-C4</f>
        <v>8.5100000000000016</v>
      </c>
      <c r="E4" s="14">
        <v>25.53</v>
      </c>
      <c r="F4" s="14">
        <v>5.5</v>
      </c>
      <c r="H4" s="15">
        <f t="shared" si="0"/>
        <v>31.03</v>
      </c>
      <c r="I4" s="16">
        <v>74.900000000000006</v>
      </c>
      <c r="J4" s="17">
        <f t="shared" si="1"/>
        <v>30.870826446280994</v>
      </c>
      <c r="K4" s="18" t="s">
        <v>14</v>
      </c>
    </row>
    <row r="5" spans="1:14" s="14" customFormat="1" ht="62.25" customHeight="1" x14ac:dyDescent="0.25">
      <c r="A5" s="14" t="s">
        <v>93</v>
      </c>
      <c r="B5" s="14" t="s">
        <v>15</v>
      </c>
      <c r="C5" s="14">
        <v>18.899999999999999</v>
      </c>
      <c r="D5" s="14">
        <f t="shared" si="2"/>
        <v>11.380000000000003</v>
      </c>
      <c r="E5" s="14">
        <v>30.28</v>
      </c>
      <c r="F5" s="14">
        <v>5.5</v>
      </c>
      <c r="H5" s="15">
        <f t="shared" si="0"/>
        <v>35.78</v>
      </c>
      <c r="I5" s="16">
        <v>86.9</v>
      </c>
      <c r="J5" s="17">
        <f t="shared" si="1"/>
        <v>36.038181818181826</v>
      </c>
      <c r="K5" s="18" t="s">
        <v>16</v>
      </c>
    </row>
    <row r="6" spans="1:14" s="14" customFormat="1" ht="62.25" customHeight="1" x14ac:dyDescent="0.25">
      <c r="A6" s="14" t="s">
        <v>94</v>
      </c>
      <c r="B6" s="14" t="s">
        <v>17</v>
      </c>
      <c r="C6" s="14">
        <v>15.45</v>
      </c>
      <c r="D6" s="14">
        <f t="shared" si="2"/>
        <v>6.0399999999999991</v>
      </c>
      <c r="E6" s="14">
        <v>21.49</v>
      </c>
      <c r="F6" s="14">
        <v>0</v>
      </c>
      <c r="H6" s="15">
        <f t="shared" si="0"/>
        <v>21.49</v>
      </c>
      <c r="I6" s="16">
        <v>51.9</v>
      </c>
      <c r="J6" s="17">
        <f t="shared" si="1"/>
        <v>21.402561983471077</v>
      </c>
      <c r="K6" s="18" t="s">
        <v>18</v>
      </c>
    </row>
    <row r="7" spans="1:14" s="14" customFormat="1" ht="62.25" customHeight="1" x14ac:dyDescent="0.25">
      <c r="A7" s="13" t="s">
        <v>95</v>
      </c>
      <c r="B7" s="14" t="s">
        <v>19</v>
      </c>
      <c r="C7" s="15">
        <v>12.76</v>
      </c>
      <c r="D7" s="15">
        <f t="shared" si="2"/>
        <v>10.229999999999999</v>
      </c>
      <c r="E7" s="15">
        <v>22.99</v>
      </c>
      <c r="F7" s="15">
        <v>5.5</v>
      </c>
      <c r="G7" s="15"/>
      <c r="H7" s="15">
        <f t="shared" si="0"/>
        <v>28.49</v>
      </c>
      <c r="I7" s="16">
        <v>69</v>
      </c>
      <c r="J7" s="17">
        <f t="shared" si="1"/>
        <v>28.534793388429758</v>
      </c>
      <c r="K7" s="18" t="s">
        <v>20</v>
      </c>
      <c r="L7" s="15"/>
      <c r="M7" s="15"/>
      <c r="N7" s="15"/>
    </row>
    <row r="8" spans="1:14" s="14" customFormat="1" ht="62.25" customHeight="1" x14ac:dyDescent="0.25">
      <c r="A8" s="13" t="s">
        <v>96</v>
      </c>
      <c r="B8" s="14" t="s">
        <v>21</v>
      </c>
      <c r="C8" s="15">
        <v>12.73</v>
      </c>
      <c r="D8" s="15">
        <f t="shared" si="2"/>
        <v>5.09</v>
      </c>
      <c r="E8" s="15">
        <v>17.82</v>
      </c>
      <c r="F8" s="15">
        <v>5.5</v>
      </c>
      <c r="G8" s="15"/>
      <c r="H8" s="15">
        <f t="shared" si="0"/>
        <v>23.32</v>
      </c>
      <c r="I8" s="16">
        <v>56.9</v>
      </c>
      <c r="J8" s="17">
        <f t="shared" si="1"/>
        <v>23.704793388429749</v>
      </c>
      <c r="K8" s="18" t="s">
        <v>22</v>
      </c>
      <c r="L8" s="15"/>
      <c r="M8" s="15"/>
      <c r="N8" s="15"/>
    </row>
    <row r="9" spans="1:14" s="14" customFormat="1" ht="62.25" customHeight="1" x14ac:dyDescent="0.25">
      <c r="A9" s="13" t="s">
        <v>97</v>
      </c>
      <c r="B9" s="14" t="s">
        <v>23</v>
      </c>
      <c r="C9" s="15">
        <v>11.64</v>
      </c>
      <c r="D9" s="15">
        <f t="shared" si="2"/>
        <v>4.4899999999999984</v>
      </c>
      <c r="E9" s="15">
        <v>16.13</v>
      </c>
      <c r="F9" s="15">
        <v>5.5</v>
      </c>
      <c r="G9" s="15"/>
      <c r="H9" s="15">
        <v>22.9</v>
      </c>
      <c r="I9" s="16">
        <v>54.9</v>
      </c>
      <c r="J9" s="17">
        <f t="shared" si="1"/>
        <v>22.47190082644628</v>
      </c>
      <c r="K9" s="18" t="s">
        <v>24</v>
      </c>
      <c r="L9" s="15"/>
      <c r="M9" s="15"/>
      <c r="N9" s="15"/>
    </row>
    <row r="10" spans="1:14" s="14" customFormat="1" ht="62.25" customHeight="1" x14ac:dyDescent="0.25">
      <c r="A10" s="13" t="s">
        <v>98</v>
      </c>
      <c r="B10" s="14" t="s">
        <v>25</v>
      </c>
      <c r="C10" s="15">
        <v>1.06</v>
      </c>
      <c r="D10" s="15">
        <f t="shared" si="2"/>
        <v>3.8400000000000003</v>
      </c>
      <c r="E10" s="15">
        <v>4.9000000000000004</v>
      </c>
      <c r="F10" s="15">
        <v>5.5</v>
      </c>
      <c r="G10" s="15"/>
      <c r="H10" s="15">
        <f t="shared" si="0"/>
        <v>10.4</v>
      </c>
      <c r="I10" s="16">
        <v>25.9</v>
      </c>
      <c r="J10" s="17">
        <f t="shared" si="1"/>
        <v>11.00495867768595</v>
      </c>
      <c r="K10" s="18" t="s">
        <v>26</v>
      </c>
      <c r="L10" s="15"/>
      <c r="M10" s="15"/>
      <c r="N10" s="15"/>
    </row>
    <row r="11" spans="1:14" s="14" customFormat="1" ht="62.25" customHeight="1" x14ac:dyDescent="0.25">
      <c r="A11" s="13" t="s">
        <v>99</v>
      </c>
      <c r="B11" s="14" t="s">
        <v>27</v>
      </c>
      <c r="C11" s="15">
        <v>15.68</v>
      </c>
      <c r="D11" s="15">
        <f t="shared" si="2"/>
        <v>6.3000000000000007</v>
      </c>
      <c r="E11" s="15">
        <v>21.98</v>
      </c>
      <c r="F11" s="15">
        <v>5.5</v>
      </c>
      <c r="G11" s="15"/>
      <c r="H11" s="15">
        <f t="shared" si="0"/>
        <v>27.48</v>
      </c>
      <c r="I11" s="16">
        <v>59</v>
      </c>
      <c r="J11" s="17">
        <f t="shared" si="1"/>
        <v>21.280330578512395</v>
      </c>
      <c r="K11" s="19" t="s">
        <v>28</v>
      </c>
      <c r="L11" s="15"/>
      <c r="M11" s="15"/>
      <c r="N11" s="15"/>
    </row>
    <row r="12" spans="1:14" s="14" customFormat="1" ht="62.25" customHeight="1" x14ac:dyDescent="0.25">
      <c r="A12" s="13" t="s">
        <v>100</v>
      </c>
      <c r="B12" s="14" t="s">
        <v>29</v>
      </c>
      <c r="C12" s="15">
        <v>19.399999999999999</v>
      </c>
      <c r="D12" s="15">
        <f t="shared" si="2"/>
        <v>7.6000000000000014</v>
      </c>
      <c r="E12" s="15">
        <v>27</v>
      </c>
      <c r="F12" s="15">
        <v>5.5</v>
      </c>
      <c r="G12" s="15"/>
      <c r="H12" s="15">
        <f t="shared" si="0"/>
        <v>32.5</v>
      </c>
      <c r="I12" s="16">
        <v>78.900000000000006</v>
      </c>
      <c r="J12" s="17">
        <f t="shared" si="1"/>
        <v>32.706611570247944</v>
      </c>
      <c r="K12" s="19" t="s">
        <v>30</v>
      </c>
      <c r="L12" s="15"/>
      <c r="M12" s="15"/>
      <c r="N12" s="15"/>
    </row>
    <row r="13" spans="1:14" s="14" customFormat="1" ht="62.25" customHeight="1" x14ac:dyDescent="0.25">
      <c r="A13" s="13" t="s">
        <v>118</v>
      </c>
      <c r="B13" s="14" t="s">
        <v>31</v>
      </c>
      <c r="C13" s="15">
        <v>20.6</v>
      </c>
      <c r="D13" s="15">
        <f t="shared" si="2"/>
        <v>6.3999999999999986</v>
      </c>
      <c r="E13" s="15">
        <v>27</v>
      </c>
      <c r="F13" s="15">
        <v>5.5</v>
      </c>
      <c r="G13" s="15"/>
      <c r="H13" s="15">
        <f t="shared" si="0"/>
        <v>32.5</v>
      </c>
      <c r="I13" s="16">
        <v>78.900000000000006</v>
      </c>
      <c r="J13" s="17">
        <f t="shared" si="1"/>
        <v>32.706611570247944</v>
      </c>
      <c r="K13" s="19" t="s">
        <v>32</v>
      </c>
      <c r="L13" s="15"/>
      <c r="M13" s="15"/>
      <c r="N13" s="15"/>
    </row>
    <row r="14" spans="1:14" s="14" customFormat="1" ht="62.25" customHeight="1" x14ac:dyDescent="0.25">
      <c r="A14" s="13" t="s">
        <v>101</v>
      </c>
      <c r="B14" s="14" t="s">
        <v>33</v>
      </c>
      <c r="C14" s="15">
        <v>4.21</v>
      </c>
      <c r="D14" s="15">
        <f t="shared" si="2"/>
        <v>4.6900000000000004</v>
      </c>
      <c r="E14" s="15">
        <v>8.9</v>
      </c>
      <c r="F14" s="15">
        <v>5.5</v>
      </c>
      <c r="H14" s="15">
        <f t="shared" si="0"/>
        <v>14.4</v>
      </c>
      <c r="I14" s="16">
        <v>34.9</v>
      </c>
      <c r="J14" s="17">
        <f t="shared" si="1"/>
        <v>14.442975206611569</v>
      </c>
      <c r="K14" s="19" t="s">
        <v>34</v>
      </c>
      <c r="L14" s="15"/>
      <c r="M14" s="15"/>
      <c r="N14" s="15"/>
    </row>
    <row r="15" spans="1:14" s="14" customFormat="1" ht="62.25" customHeight="1" x14ac:dyDescent="0.25">
      <c r="A15" s="13" t="s">
        <v>119</v>
      </c>
      <c r="B15" s="14" t="s">
        <v>35</v>
      </c>
      <c r="C15" s="15">
        <v>10.199999999999999</v>
      </c>
      <c r="D15" s="15">
        <f t="shared" si="2"/>
        <v>3.0600000000000005</v>
      </c>
      <c r="E15" s="15">
        <v>13.26</v>
      </c>
      <c r="F15" s="15">
        <v>5.5</v>
      </c>
      <c r="G15" s="15"/>
      <c r="H15" s="15">
        <f t="shared" si="0"/>
        <v>18.759999999999998</v>
      </c>
      <c r="I15" s="16">
        <v>45.9</v>
      </c>
      <c r="J15" s="17">
        <f t="shared" si="1"/>
        <v>19.173884297520665</v>
      </c>
      <c r="K15" s="19" t="s">
        <v>36</v>
      </c>
      <c r="L15" s="15"/>
      <c r="M15" s="15"/>
      <c r="N15" s="15"/>
    </row>
    <row r="16" spans="1:14" s="14" customFormat="1" ht="62.25" customHeight="1" x14ac:dyDescent="0.25">
      <c r="A16" s="13" t="s">
        <v>120</v>
      </c>
      <c r="B16" s="14" t="s">
        <v>37</v>
      </c>
      <c r="C16" s="15">
        <v>10.199999999999999</v>
      </c>
      <c r="D16" s="15">
        <f t="shared" si="2"/>
        <v>3.0600000000000005</v>
      </c>
      <c r="E16" s="15">
        <v>13.26</v>
      </c>
      <c r="F16" s="15">
        <v>5.5</v>
      </c>
      <c r="G16" s="15"/>
      <c r="H16" s="15">
        <f t="shared" si="0"/>
        <v>18.759999999999998</v>
      </c>
      <c r="I16" s="16">
        <v>45.9</v>
      </c>
      <c r="J16" s="17">
        <f t="shared" si="1"/>
        <v>19.173884297520665</v>
      </c>
      <c r="K16" s="19" t="s">
        <v>38</v>
      </c>
      <c r="L16" s="15"/>
      <c r="M16" s="15"/>
      <c r="N16" s="15"/>
    </row>
    <row r="17" spans="1:22" s="14" customFormat="1" ht="62.25" customHeight="1" x14ac:dyDescent="0.25">
      <c r="A17" s="13" t="s">
        <v>121</v>
      </c>
      <c r="B17" s="14" t="s">
        <v>39</v>
      </c>
      <c r="C17" s="15">
        <v>10.199999999999999</v>
      </c>
      <c r="D17" s="15">
        <f t="shared" si="2"/>
        <v>3.0600000000000005</v>
      </c>
      <c r="E17" s="15">
        <v>13.26</v>
      </c>
      <c r="F17" s="15">
        <v>5.5</v>
      </c>
      <c r="G17" s="15"/>
      <c r="H17" s="15">
        <f t="shared" si="0"/>
        <v>18.759999999999998</v>
      </c>
      <c r="I17" s="16">
        <f t="shared" ref="I17:I31" si="3">H17*2*1.21</f>
        <v>45.399199999999993</v>
      </c>
      <c r="J17" s="17">
        <f t="shared" si="1"/>
        <v>18.759999999999998</v>
      </c>
      <c r="K17" s="19" t="s">
        <v>40</v>
      </c>
      <c r="L17" s="15"/>
      <c r="M17" s="15"/>
      <c r="N17" s="15"/>
    </row>
    <row r="18" spans="1:22" s="14" customFormat="1" ht="62.25" customHeight="1" x14ac:dyDescent="0.25">
      <c r="A18" s="13" t="s">
        <v>102</v>
      </c>
      <c r="B18" s="14" t="s">
        <v>41</v>
      </c>
      <c r="C18" s="15">
        <v>16.2</v>
      </c>
      <c r="D18" s="15">
        <f t="shared" si="2"/>
        <v>6.48</v>
      </c>
      <c r="E18" s="15">
        <v>22.68</v>
      </c>
      <c r="F18" s="15">
        <v>5.5</v>
      </c>
      <c r="G18" s="15"/>
      <c r="H18" s="15">
        <f t="shared" si="0"/>
        <v>28.18</v>
      </c>
      <c r="I18" s="16">
        <f t="shared" si="3"/>
        <v>68.195599999999999</v>
      </c>
      <c r="J18" s="17">
        <f t="shared" si="1"/>
        <v>28.18</v>
      </c>
      <c r="K18" s="19" t="s">
        <v>42</v>
      </c>
      <c r="L18" s="15"/>
      <c r="M18" s="15"/>
      <c r="N18" s="15"/>
    </row>
    <row r="19" spans="1:22" s="14" customFormat="1" ht="62.25" customHeight="1" x14ac:dyDescent="0.25">
      <c r="A19" s="13" t="s">
        <v>103</v>
      </c>
      <c r="B19" s="14" t="s">
        <v>43</v>
      </c>
      <c r="C19" s="15">
        <v>12.62</v>
      </c>
      <c r="D19" s="15">
        <f t="shared" si="2"/>
        <v>12.94</v>
      </c>
      <c r="E19" s="15">
        <v>25.56</v>
      </c>
      <c r="F19" s="15">
        <v>5.5</v>
      </c>
      <c r="G19" s="15"/>
      <c r="H19" s="15">
        <f t="shared" si="0"/>
        <v>31.06</v>
      </c>
      <c r="I19" s="16">
        <v>74.900000000000006</v>
      </c>
      <c r="J19" s="17">
        <f t="shared" si="1"/>
        <v>30.840826446280996</v>
      </c>
      <c r="K19" s="19" t="s">
        <v>44</v>
      </c>
      <c r="L19" s="15"/>
      <c r="M19" s="15"/>
      <c r="N19" s="15"/>
    </row>
    <row r="20" spans="1:22" s="14" customFormat="1" ht="62.25" customHeight="1" x14ac:dyDescent="0.25">
      <c r="A20" s="13" t="s">
        <v>104</v>
      </c>
      <c r="B20" s="14" t="s">
        <v>45</v>
      </c>
      <c r="C20" s="15">
        <v>2</v>
      </c>
      <c r="D20" s="15">
        <f t="shared" si="2"/>
        <v>6.3599999999999994</v>
      </c>
      <c r="E20" s="15">
        <v>8.36</v>
      </c>
      <c r="F20" s="15">
        <v>5.5</v>
      </c>
      <c r="G20" s="15"/>
      <c r="H20" s="15">
        <f t="shared" si="0"/>
        <v>13.86</v>
      </c>
      <c r="I20" s="16">
        <v>33.9</v>
      </c>
      <c r="J20" s="17">
        <f t="shared" si="1"/>
        <v>14.156528925619835</v>
      </c>
      <c r="K20" s="19" t="s">
        <v>46</v>
      </c>
      <c r="L20" s="15"/>
      <c r="M20" s="15"/>
      <c r="N20" s="15"/>
    </row>
    <row r="21" spans="1:22" s="14" customFormat="1" ht="62.25" customHeight="1" x14ac:dyDescent="0.25">
      <c r="A21" s="13" t="s">
        <v>105</v>
      </c>
      <c r="B21" s="14" t="s">
        <v>47</v>
      </c>
      <c r="C21" s="15">
        <v>2.8</v>
      </c>
      <c r="D21" s="15">
        <f t="shared" si="2"/>
        <v>10.039999999999999</v>
      </c>
      <c r="E21" s="15">
        <v>12.84</v>
      </c>
      <c r="F21" s="15">
        <v>5.5</v>
      </c>
      <c r="G21" s="15"/>
      <c r="H21" s="15">
        <f t="shared" si="0"/>
        <v>18.34</v>
      </c>
      <c r="I21" s="16">
        <v>44.9</v>
      </c>
      <c r="J21" s="17">
        <f t="shared" si="1"/>
        <v>18.767438016528924</v>
      </c>
      <c r="K21" s="19" t="s">
        <v>48</v>
      </c>
      <c r="L21" s="15"/>
      <c r="M21" s="15"/>
      <c r="N21" s="15"/>
    </row>
    <row r="22" spans="1:22" s="14" customFormat="1" ht="62.25" customHeight="1" x14ac:dyDescent="0.25">
      <c r="A22" s="13" t="s">
        <v>106</v>
      </c>
      <c r="B22" s="14" t="s">
        <v>130</v>
      </c>
      <c r="C22" s="15">
        <v>1.85</v>
      </c>
      <c r="D22" s="15">
        <f t="shared" si="2"/>
        <v>3.0500000000000003</v>
      </c>
      <c r="E22" s="15">
        <v>4.9000000000000004</v>
      </c>
      <c r="F22" s="15">
        <v>5.5</v>
      </c>
      <c r="G22" s="15"/>
      <c r="H22" s="15">
        <f t="shared" si="0"/>
        <v>10.4</v>
      </c>
      <c r="I22" s="16">
        <f t="shared" si="3"/>
        <v>25.167999999999999</v>
      </c>
      <c r="J22" s="17">
        <f t="shared" si="1"/>
        <v>10.4</v>
      </c>
      <c r="K22" s="19" t="s">
        <v>49</v>
      </c>
      <c r="L22" s="15"/>
      <c r="M22" s="15"/>
      <c r="N22" s="15"/>
    </row>
    <row r="23" spans="1:22" s="14" customFormat="1" ht="62.25" customHeight="1" x14ac:dyDescent="0.25">
      <c r="A23" s="13" t="s">
        <v>107</v>
      </c>
      <c r="B23" s="14" t="s">
        <v>50</v>
      </c>
      <c r="C23" s="15">
        <v>3.44</v>
      </c>
      <c r="D23" s="15">
        <f t="shared" si="2"/>
        <v>10.020000000000001</v>
      </c>
      <c r="E23" s="15">
        <v>13.46</v>
      </c>
      <c r="F23" s="15">
        <v>5.5</v>
      </c>
      <c r="G23" s="15"/>
      <c r="H23" s="15">
        <f t="shared" si="0"/>
        <v>18.96</v>
      </c>
      <c r="I23" s="16">
        <v>45.9</v>
      </c>
      <c r="J23" s="17">
        <f t="shared" si="1"/>
        <v>18.973884297520662</v>
      </c>
      <c r="K23" s="19" t="s">
        <v>51</v>
      </c>
      <c r="L23" s="15"/>
      <c r="M23" s="15"/>
      <c r="N23" s="15"/>
    </row>
    <row r="24" spans="1:22" s="14" customFormat="1" ht="62.25" customHeight="1" x14ac:dyDescent="0.25">
      <c r="A24" s="13" t="s">
        <v>108</v>
      </c>
      <c r="B24" s="14" t="s">
        <v>52</v>
      </c>
      <c r="C24" s="15">
        <v>7.2</v>
      </c>
      <c r="D24" s="15">
        <f t="shared" si="2"/>
        <v>7.1000000000000005</v>
      </c>
      <c r="E24" s="15">
        <v>14.3</v>
      </c>
      <c r="F24" s="15">
        <v>5.5</v>
      </c>
      <c r="G24" s="15"/>
      <c r="H24" s="15">
        <f t="shared" si="0"/>
        <v>19.8</v>
      </c>
      <c r="I24" s="16">
        <v>47.9</v>
      </c>
      <c r="J24" s="17">
        <f t="shared" si="1"/>
        <v>19.786776859504133</v>
      </c>
      <c r="K24" s="19" t="s">
        <v>53</v>
      </c>
      <c r="L24" s="15"/>
      <c r="M24" s="15"/>
      <c r="N24" s="15"/>
    </row>
    <row r="25" spans="1:22" s="14" customFormat="1" ht="62.25" customHeight="1" x14ac:dyDescent="0.25">
      <c r="A25" s="13" t="s">
        <v>122</v>
      </c>
      <c r="B25" s="14" t="s">
        <v>54</v>
      </c>
      <c r="C25" s="15">
        <v>8</v>
      </c>
      <c r="D25" s="15">
        <f t="shared" si="2"/>
        <v>4.9000000000000004</v>
      </c>
      <c r="E25" s="15">
        <v>12.9</v>
      </c>
      <c r="F25" s="15">
        <v>0</v>
      </c>
      <c r="G25" s="15"/>
      <c r="H25" s="15">
        <f t="shared" si="0"/>
        <v>12.9</v>
      </c>
      <c r="I25" s="16">
        <f t="shared" si="3"/>
        <v>31.218</v>
      </c>
      <c r="J25" s="17">
        <f t="shared" si="1"/>
        <v>12.9</v>
      </c>
      <c r="K25" s="18" t="s">
        <v>55</v>
      </c>
      <c r="L25" s="15"/>
      <c r="M25" s="15"/>
      <c r="N25" s="15"/>
    </row>
    <row r="26" spans="1:22" s="14" customFormat="1" ht="62.25" customHeight="1" x14ac:dyDescent="0.25">
      <c r="A26" s="13" t="s">
        <v>123</v>
      </c>
      <c r="B26" s="14" t="s">
        <v>56</v>
      </c>
      <c r="C26" s="15">
        <v>8</v>
      </c>
      <c r="D26" s="15">
        <f t="shared" si="2"/>
        <v>4.9000000000000004</v>
      </c>
      <c r="E26" s="15">
        <v>12.9</v>
      </c>
      <c r="F26" s="15">
        <v>0</v>
      </c>
      <c r="G26" s="15"/>
      <c r="H26" s="15">
        <f t="shared" si="0"/>
        <v>12.9</v>
      </c>
      <c r="I26" s="16">
        <f t="shared" si="3"/>
        <v>31.218</v>
      </c>
      <c r="J26" s="17">
        <f t="shared" si="1"/>
        <v>12.9</v>
      </c>
      <c r="K26" s="18" t="s">
        <v>57</v>
      </c>
      <c r="L26" s="15"/>
      <c r="M26" s="15"/>
      <c r="N26" s="15"/>
    </row>
    <row r="27" spans="1:22" s="14" customFormat="1" ht="62.25" customHeight="1" x14ac:dyDescent="0.25">
      <c r="A27" s="13" t="s">
        <v>124</v>
      </c>
      <c r="B27" s="14" t="s">
        <v>58</v>
      </c>
      <c r="C27" s="15">
        <v>8.0500000000000007</v>
      </c>
      <c r="D27" s="15">
        <f t="shared" si="2"/>
        <v>5.85</v>
      </c>
      <c r="E27" s="15">
        <v>13.9</v>
      </c>
      <c r="F27" s="15">
        <v>0</v>
      </c>
      <c r="G27" s="15"/>
      <c r="H27" s="15">
        <f t="shared" si="0"/>
        <v>13.9</v>
      </c>
      <c r="I27" s="16">
        <f t="shared" si="3"/>
        <v>33.637999999999998</v>
      </c>
      <c r="J27" s="17">
        <f t="shared" si="1"/>
        <v>13.9</v>
      </c>
      <c r="K27" s="18" t="s">
        <v>59</v>
      </c>
      <c r="L27" s="15"/>
      <c r="M27" s="15"/>
      <c r="N27" s="15"/>
    </row>
    <row r="28" spans="1:22" s="14" customFormat="1" ht="62.25" customHeight="1" x14ac:dyDescent="0.25">
      <c r="A28" s="13" t="s">
        <v>131</v>
      </c>
      <c r="B28" s="14" t="s">
        <v>60</v>
      </c>
      <c r="C28" s="15">
        <v>8.0500000000000007</v>
      </c>
      <c r="D28" s="15">
        <f t="shared" si="2"/>
        <v>5.85</v>
      </c>
      <c r="E28" s="15">
        <v>13.9</v>
      </c>
      <c r="F28" s="15">
        <v>0</v>
      </c>
      <c r="G28" s="15"/>
      <c r="H28" s="15">
        <f t="shared" si="0"/>
        <v>13.9</v>
      </c>
      <c r="I28" s="16">
        <f t="shared" si="3"/>
        <v>33.637999999999998</v>
      </c>
      <c r="J28" s="17">
        <f t="shared" si="1"/>
        <v>13.9</v>
      </c>
      <c r="K28" s="18" t="s">
        <v>61</v>
      </c>
      <c r="L28" s="15"/>
      <c r="M28" s="15"/>
      <c r="N28" s="15"/>
      <c r="V28" s="14" t="s">
        <v>62</v>
      </c>
    </row>
    <row r="29" spans="1:22" s="14" customFormat="1" ht="62.25" customHeight="1" x14ac:dyDescent="0.25">
      <c r="A29" s="13" t="s">
        <v>129</v>
      </c>
      <c r="B29" s="14" t="s">
        <v>63</v>
      </c>
      <c r="C29" s="15">
        <v>8.4</v>
      </c>
      <c r="D29" s="15">
        <f t="shared" si="2"/>
        <v>6.5</v>
      </c>
      <c r="E29" s="15">
        <v>14.9</v>
      </c>
      <c r="F29" s="15">
        <v>0</v>
      </c>
      <c r="G29" s="15"/>
      <c r="H29" s="15">
        <f t="shared" si="0"/>
        <v>14.9</v>
      </c>
      <c r="I29" s="16">
        <f t="shared" si="3"/>
        <v>36.058</v>
      </c>
      <c r="J29" s="17">
        <f t="shared" si="1"/>
        <v>14.9</v>
      </c>
      <c r="K29" s="18" t="s">
        <v>64</v>
      </c>
      <c r="L29" s="15"/>
      <c r="M29" s="15"/>
      <c r="N29" s="15"/>
    </row>
    <row r="30" spans="1:22" s="14" customFormat="1" ht="62.25" customHeight="1" x14ac:dyDescent="0.25">
      <c r="A30" s="13" t="s">
        <v>125</v>
      </c>
      <c r="B30" s="14" t="s">
        <v>65</v>
      </c>
      <c r="C30" s="15">
        <v>8.4</v>
      </c>
      <c r="D30" s="15">
        <f t="shared" si="2"/>
        <v>6.5</v>
      </c>
      <c r="E30" s="15">
        <v>14.9</v>
      </c>
      <c r="F30" s="15">
        <v>0</v>
      </c>
      <c r="G30" s="15"/>
      <c r="H30" s="15">
        <f t="shared" si="0"/>
        <v>14.9</v>
      </c>
      <c r="I30" s="16">
        <f t="shared" si="3"/>
        <v>36.058</v>
      </c>
      <c r="J30" s="17">
        <f t="shared" si="1"/>
        <v>14.9</v>
      </c>
      <c r="K30" s="18" t="s">
        <v>66</v>
      </c>
      <c r="L30" s="15"/>
      <c r="M30" s="15"/>
      <c r="N30" s="15"/>
    </row>
    <row r="31" spans="1:22" s="6" customFormat="1" ht="62.25" customHeight="1" x14ac:dyDescent="0.25">
      <c r="A31" s="7" t="s">
        <v>109</v>
      </c>
      <c r="B31" s="6" t="s">
        <v>67</v>
      </c>
      <c r="C31" s="8">
        <v>1</v>
      </c>
      <c r="D31" s="8">
        <f t="shared" si="2"/>
        <v>6.05</v>
      </c>
      <c r="E31" s="8">
        <v>7.05</v>
      </c>
      <c r="F31" s="8">
        <v>0</v>
      </c>
      <c r="G31" s="8"/>
      <c r="H31" s="8">
        <f t="shared" si="0"/>
        <v>7.05</v>
      </c>
      <c r="I31" s="8">
        <f t="shared" si="3"/>
        <v>17.061</v>
      </c>
      <c r="J31" s="9">
        <f t="shared" si="1"/>
        <v>7.05</v>
      </c>
      <c r="K31" s="10" t="s">
        <v>68</v>
      </c>
      <c r="L31" s="8"/>
      <c r="M31" s="8"/>
      <c r="N31" s="8"/>
    </row>
    <row r="32" spans="1:22" s="14" customFormat="1" ht="62.25" customHeight="1" x14ac:dyDescent="0.25">
      <c r="A32" s="13" t="s">
        <v>126</v>
      </c>
      <c r="B32" s="14" t="s">
        <v>69</v>
      </c>
      <c r="C32" s="15">
        <v>14</v>
      </c>
      <c r="D32" s="15">
        <f t="shared" si="2"/>
        <v>5.6000000000000014</v>
      </c>
      <c r="E32" s="15">
        <v>19.600000000000001</v>
      </c>
      <c r="F32" s="15">
        <v>0</v>
      </c>
      <c r="G32" s="15"/>
      <c r="H32" s="15">
        <f t="shared" si="0"/>
        <v>19.600000000000001</v>
      </c>
      <c r="I32" s="15">
        <v>47.9</v>
      </c>
      <c r="J32" s="17">
        <f t="shared" si="1"/>
        <v>19.986776859504133</v>
      </c>
      <c r="K32" s="18" t="s">
        <v>70</v>
      </c>
      <c r="L32" s="15"/>
      <c r="M32" s="15"/>
      <c r="N32" s="15"/>
    </row>
    <row r="33" spans="1:14" s="14" customFormat="1" ht="62.25" customHeight="1" x14ac:dyDescent="0.25">
      <c r="A33" s="13" t="s">
        <v>127</v>
      </c>
      <c r="B33" s="14" t="s">
        <v>71</v>
      </c>
      <c r="C33" s="15">
        <v>14</v>
      </c>
      <c r="D33" s="15">
        <f t="shared" si="2"/>
        <v>5.6000000000000014</v>
      </c>
      <c r="E33" s="15">
        <v>19.600000000000001</v>
      </c>
      <c r="F33" s="15">
        <v>0</v>
      </c>
      <c r="G33" s="15"/>
      <c r="H33" s="15">
        <f t="shared" si="0"/>
        <v>19.600000000000001</v>
      </c>
      <c r="I33" s="15">
        <v>47.9</v>
      </c>
      <c r="J33" s="17">
        <f t="shared" si="1"/>
        <v>19.986776859504133</v>
      </c>
      <c r="K33" s="18" t="s">
        <v>72</v>
      </c>
      <c r="L33" s="15"/>
      <c r="M33" s="15"/>
      <c r="N33" s="15"/>
    </row>
    <row r="34" spans="1:14" s="14" customFormat="1" ht="62.25" customHeight="1" x14ac:dyDescent="0.25">
      <c r="A34" s="13" t="s">
        <v>128</v>
      </c>
      <c r="B34" s="14" t="s">
        <v>73</v>
      </c>
      <c r="C34" s="15">
        <v>14</v>
      </c>
      <c r="D34" s="15">
        <f t="shared" si="2"/>
        <v>5.6000000000000014</v>
      </c>
      <c r="E34" s="15">
        <v>19.600000000000001</v>
      </c>
      <c r="F34" s="15">
        <v>0</v>
      </c>
      <c r="G34" s="15"/>
      <c r="H34" s="15">
        <f t="shared" si="0"/>
        <v>19.600000000000001</v>
      </c>
      <c r="I34" s="15">
        <v>47.9</v>
      </c>
      <c r="J34" s="17">
        <f t="shared" si="1"/>
        <v>19.986776859504133</v>
      </c>
      <c r="K34" s="18" t="s">
        <v>74</v>
      </c>
      <c r="L34" s="15"/>
      <c r="M34" s="15"/>
      <c r="N34" s="15"/>
    </row>
    <row r="35" spans="1:14" s="14" customFormat="1" ht="62.25" customHeight="1" x14ac:dyDescent="0.25">
      <c r="A35" s="13" t="s">
        <v>110</v>
      </c>
      <c r="B35" s="14" t="s">
        <v>75</v>
      </c>
      <c r="C35" s="15">
        <v>8</v>
      </c>
      <c r="D35" s="15">
        <f t="shared" si="2"/>
        <v>2.9000000000000004</v>
      </c>
      <c r="E35" s="15">
        <v>10.9</v>
      </c>
      <c r="F35" s="15">
        <v>5.5</v>
      </c>
      <c r="G35" s="15"/>
      <c r="H35" s="15">
        <f t="shared" si="0"/>
        <v>16.399999999999999</v>
      </c>
      <c r="I35" s="15">
        <v>39.9</v>
      </c>
      <c r="J35" s="17">
        <f>I35/1.21-H35</f>
        <v>16.575206611570252</v>
      </c>
      <c r="K35" s="18" t="s">
        <v>76</v>
      </c>
      <c r="L35" s="15"/>
      <c r="M35" s="15"/>
      <c r="N35" s="15"/>
    </row>
    <row r="36" spans="1:14" s="14" customFormat="1" ht="62.25" customHeight="1" x14ac:dyDescent="0.25">
      <c r="A36" s="13" t="s">
        <v>111</v>
      </c>
      <c r="B36" s="14" t="s">
        <v>132</v>
      </c>
      <c r="C36" s="15">
        <v>9.1999999999999993</v>
      </c>
      <c r="D36" s="15">
        <f t="shared" si="2"/>
        <v>2.8000000000000007</v>
      </c>
      <c r="E36" s="15">
        <v>12</v>
      </c>
      <c r="F36" s="15">
        <v>5.5</v>
      </c>
      <c r="G36" s="15"/>
      <c r="H36" s="15">
        <f t="shared" si="0"/>
        <v>17.5</v>
      </c>
      <c r="I36" s="15">
        <v>42.9</v>
      </c>
      <c r="J36" s="17">
        <f>I36/1.21-H36</f>
        <v>17.954545454545453</v>
      </c>
      <c r="K36" s="18" t="s">
        <v>77</v>
      </c>
      <c r="L36" s="15"/>
      <c r="M36" s="15"/>
      <c r="N36" s="15"/>
    </row>
    <row r="37" spans="1:14" s="14" customFormat="1" ht="62.25" customHeight="1" x14ac:dyDescent="0.25">
      <c r="A37" s="13" t="s">
        <v>112</v>
      </c>
      <c r="B37" s="14" t="s">
        <v>78</v>
      </c>
      <c r="C37" s="15">
        <v>8</v>
      </c>
      <c r="D37" s="15">
        <f t="shared" si="2"/>
        <v>2.9000000000000004</v>
      </c>
      <c r="E37" s="15">
        <v>10.9</v>
      </c>
      <c r="F37" s="15">
        <v>5.5</v>
      </c>
      <c r="G37" s="15"/>
      <c r="H37" s="15">
        <f t="shared" si="0"/>
        <v>16.399999999999999</v>
      </c>
      <c r="I37" s="15">
        <v>39.9</v>
      </c>
      <c r="J37" s="17">
        <f>I37/1.21-H37</f>
        <v>16.575206611570252</v>
      </c>
      <c r="K37" s="18" t="s">
        <v>79</v>
      </c>
      <c r="L37" s="15"/>
      <c r="M37" s="15"/>
      <c r="N37" s="15"/>
    </row>
    <row r="38" spans="1:14" s="14" customFormat="1" ht="62.25" customHeight="1" x14ac:dyDescent="0.25">
      <c r="A38" s="13" t="s">
        <v>113</v>
      </c>
      <c r="B38" s="14" t="s">
        <v>80</v>
      </c>
      <c r="C38" s="15">
        <v>9.1999999999999993</v>
      </c>
      <c r="D38" s="15">
        <f t="shared" si="2"/>
        <v>2.8000000000000007</v>
      </c>
      <c r="E38" s="15">
        <v>12</v>
      </c>
      <c r="F38" s="15">
        <v>5.5</v>
      </c>
      <c r="G38" s="15"/>
      <c r="H38" s="15">
        <f t="shared" si="0"/>
        <v>17.5</v>
      </c>
      <c r="I38" s="15">
        <v>42.9</v>
      </c>
      <c r="J38" s="17">
        <f>I38/1.21-H38</f>
        <v>17.954545454545453</v>
      </c>
      <c r="K38" s="18" t="s">
        <v>81</v>
      </c>
      <c r="L38" s="15"/>
      <c r="M38" s="15"/>
      <c r="N38" s="15"/>
    </row>
    <row r="39" spans="1:14" s="14" customFormat="1" ht="62.25" customHeight="1" x14ac:dyDescent="0.25">
      <c r="A39" s="13" t="s">
        <v>139</v>
      </c>
      <c r="B39" s="14" t="s">
        <v>133</v>
      </c>
      <c r="C39" s="15">
        <v>8.8000000000000007</v>
      </c>
      <c r="D39" s="15">
        <f t="shared" si="2"/>
        <v>3.0999999999999996</v>
      </c>
      <c r="E39" s="15">
        <v>11.9</v>
      </c>
      <c r="F39" s="15">
        <v>5.5</v>
      </c>
      <c r="G39" s="15"/>
      <c r="H39" s="15">
        <f t="shared" si="0"/>
        <v>17.399999999999999</v>
      </c>
      <c r="I39" s="15">
        <v>42.2</v>
      </c>
      <c r="J39" s="17">
        <f t="shared" ref="J39:J43" si="4">I39/1.21-H39</f>
        <v>17.476033057851247</v>
      </c>
      <c r="K39" s="18" t="s">
        <v>82</v>
      </c>
      <c r="L39" s="15"/>
      <c r="M39" s="15"/>
      <c r="N39" s="15"/>
    </row>
    <row r="40" spans="1:14" s="14" customFormat="1" ht="62.25" customHeight="1" x14ac:dyDescent="0.25">
      <c r="A40" s="13" t="s">
        <v>114</v>
      </c>
      <c r="B40" s="14" t="s">
        <v>134</v>
      </c>
      <c r="C40" s="15">
        <v>10</v>
      </c>
      <c r="D40" s="15">
        <f t="shared" si="2"/>
        <v>3</v>
      </c>
      <c r="E40" s="15">
        <v>13</v>
      </c>
      <c r="F40" s="15">
        <v>5.5</v>
      </c>
      <c r="G40" s="15"/>
      <c r="H40" s="15">
        <f t="shared" si="0"/>
        <v>18.5</v>
      </c>
      <c r="I40" s="15">
        <v>44.9</v>
      </c>
      <c r="J40" s="17">
        <f t="shared" si="4"/>
        <v>18.607438016528924</v>
      </c>
      <c r="K40" s="18" t="s">
        <v>83</v>
      </c>
      <c r="L40" s="15"/>
      <c r="M40" s="15"/>
      <c r="N40" s="15"/>
    </row>
    <row r="41" spans="1:14" s="14" customFormat="1" ht="62.25" customHeight="1" x14ac:dyDescent="0.25">
      <c r="A41" s="13" t="s">
        <v>115</v>
      </c>
      <c r="B41" s="14" t="s">
        <v>84</v>
      </c>
      <c r="C41" s="15">
        <v>11.78</v>
      </c>
      <c r="D41" s="15">
        <f t="shared" si="2"/>
        <v>5.8900000000000023</v>
      </c>
      <c r="E41" s="15">
        <v>17.670000000000002</v>
      </c>
      <c r="F41" s="15">
        <v>0</v>
      </c>
      <c r="G41" s="15"/>
      <c r="H41" s="15">
        <f t="shared" si="0"/>
        <v>17.670000000000002</v>
      </c>
      <c r="I41" s="15">
        <v>42.9</v>
      </c>
      <c r="J41" s="17">
        <f t="shared" si="4"/>
        <v>17.784545454545452</v>
      </c>
      <c r="K41" s="18" t="s">
        <v>85</v>
      </c>
      <c r="L41" s="15"/>
      <c r="M41" s="15"/>
      <c r="N41" s="15"/>
    </row>
    <row r="42" spans="1:14" s="14" customFormat="1" ht="62.25" customHeight="1" x14ac:dyDescent="0.25">
      <c r="A42" s="13" t="s">
        <v>116</v>
      </c>
      <c r="B42" s="14" t="s">
        <v>86</v>
      </c>
      <c r="C42" s="15">
        <v>12.9</v>
      </c>
      <c r="D42" s="15">
        <f t="shared" si="2"/>
        <v>9.1799999999999979</v>
      </c>
      <c r="E42" s="15">
        <v>22.08</v>
      </c>
      <c r="F42" s="15">
        <v>0</v>
      </c>
      <c r="G42" s="15"/>
      <c r="H42" s="15">
        <f t="shared" si="0"/>
        <v>22.08</v>
      </c>
      <c r="I42" s="15">
        <v>53.9</v>
      </c>
      <c r="J42" s="17">
        <f t="shared" si="4"/>
        <v>22.465454545454548</v>
      </c>
      <c r="K42" s="18" t="s">
        <v>87</v>
      </c>
      <c r="L42" s="15"/>
      <c r="M42" s="15"/>
      <c r="N42" s="15"/>
    </row>
    <row r="43" spans="1:14" s="14" customFormat="1" ht="62.25" customHeight="1" x14ac:dyDescent="0.25">
      <c r="A43" s="13" t="s">
        <v>117</v>
      </c>
      <c r="B43" s="14" t="s">
        <v>88</v>
      </c>
      <c r="C43" s="15">
        <v>11.79</v>
      </c>
      <c r="D43" s="15">
        <f t="shared" si="2"/>
        <v>7.7899999999999991</v>
      </c>
      <c r="E43" s="15">
        <v>19.579999999999998</v>
      </c>
      <c r="F43" s="15">
        <v>0</v>
      </c>
      <c r="G43" s="15"/>
      <c r="H43" s="15">
        <f t="shared" si="0"/>
        <v>19.579999999999998</v>
      </c>
      <c r="I43" s="15">
        <v>47.9</v>
      </c>
      <c r="J43" s="17">
        <f t="shared" si="4"/>
        <v>20.006776859504136</v>
      </c>
      <c r="K43" s="18" t="s">
        <v>89</v>
      </c>
      <c r="L43" s="15"/>
      <c r="M43" s="15"/>
      <c r="N43" s="15"/>
    </row>
    <row r="44" spans="1:14" ht="62.25" customHeight="1" x14ac:dyDescent="0.25">
      <c r="J44" s="11" t="s">
        <v>62</v>
      </c>
    </row>
    <row r="45" spans="1:14" ht="62.25" customHeight="1" x14ac:dyDescent="0.25">
      <c r="B45" s="2" t="s">
        <v>136</v>
      </c>
    </row>
    <row r="46" spans="1:14" ht="62.25" customHeight="1" x14ac:dyDescent="0.25">
      <c r="B46" s="2" t="s">
        <v>137</v>
      </c>
    </row>
    <row r="47" spans="1:14" s="12" customFormat="1" ht="62.25" customHeight="1" x14ac:dyDescent="0.25">
      <c r="B47" s="12" t="s">
        <v>135</v>
      </c>
    </row>
    <row r="48" spans="1:14" ht="62.25" customHeight="1" x14ac:dyDescent="0.25">
      <c r="B48" s="2" t="s">
        <v>138</v>
      </c>
    </row>
  </sheetData>
  <autoFilter ref="A2:V2" xr:uid="{A757AD75-51B9-45B3-A28E-D9B2445E2091}"/>
  <pageMargins left="0.7" right="0.7" top="0.78740157499999996" bottom="0.78740157499999996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Litvín</dc:creator>
  <cp:lastModifiedBy>Stanislav Litvín</cp:lastModifiedBy>
  <cp:lastPrinted>2026-07-03T08:25:56Z</cp:lastPrinted>
  <dcterms:created xsi:type="dcterms:W3CDTF">2026-07-03T07:03:36Z</dcterms:created>
  <dcterms:modified xsi:type="dcterms:W3CDTF">2026-08-14T09:41:35Z</dcterms:modified>
</cp:coreProperties>
</file>