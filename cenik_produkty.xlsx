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ssol-my.sharepoint.com/personal/litvin_agrossol_onmicrosoft_com/Documents/Plocha/A-GROSS SOS/"/>
    </mc:Choice>
  </mc:AlternateContent>
  <xr:revisionPtr revIDLastSave="218" documentId="13_ncr:1_{829F68EA-861F-4692-9393-C0E05229DDC2}" xr6:coauthVersionLast="47" xr6:coauthVersionMax="47" xr10:uidLastSave="{73797C85-87EE-46EB-9CB7-CEA3BEEF97D2}"/>
  <bookViews>
    <workbookView xWindow="-120" yWindow="-120" windowWidth="29040" windowHeight="15720" xr2:uid="{2C4CCDA7-415D-4BA0-9018-6B749ADE7162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3" i="1" l="1"/>
  <c r="I43" i="1" s="1"/>
  <c r="D43" i="1"/>
  <c r="G42" i="1"/>
  <c r="D42" i="1"/>
  <c r="I42" i="1"/>
  <c r="I41" i="1"/>
  <c r="G41" i="1"/>
  <c r="D41" i="1"/>
  <c r="I40" i="1"/>
  <c r="I39" i="1"/>
  <c r="D40" i="1"/>
  <c r="G40" i="1"/>
  <c r="D39" i="1"/>
  <c r="G39" i="1"/>
  <c r="G38" i="1"/>
  <c r="I38" i="1" s="1"/>
  <c r="D38" i="1"/>
  <c r="G37" i="1"/>
  <c r="I37" i="1" s="1"/>
  <c r="D37" i="1"/>
  <c r="I36" i="1"/>
  <c r="G36" i="1"/>
  <c r="D36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35" i="1"/>
  <c r="G35" i="1"/>
  <c r="D35" i="1"/>
  <c r="G16" i="1"/>
  <c r="D3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H18" i="1" l="1"/>
  <c r="H31" i="1"/>
  <c r="H30" i="1"/>
  <c r="H29" i="1"/>
  <c r="H28" i="1"/>
  <c r="H27" i="1"/>
  <c r="H26" i="1"/>
  <c r="H25" i="1"/>
  <c r="H22" i="1"/>
  <c r="H17" i="1"/>
</calcChain>
</file>

<file path=xl/sharedStrings.xml><?xml version="1.0" encoding="utf-8"?>
<sst xmlns="http://schemas.openxmlformats.org/spreadsheetml/2006/main" count="136" uniqueCount="135">
  <si>
    <t>Marže obchodníka: 50 % | Přirážka: 100 %</t>
  </si>
  <si>
    <t>Kod</t>
  </si>
  <si>
    <t xml:space="preserve">Položka </t>
  </si>
  <si>
    <t>NC naše</t>
  </si>
  <si>
    <t>PC VO</t>
  </si>
  <si>
    <t>Krabička</t>
  </si>
  <si>
    <t>NC zákazník</t>
  </si>
  <si>
    <t xml:space="preserve">MOC </t>
  </si>
  <si>
    <t>EAN</t>
  </si>
  <si>
    <t>JEHLY ORGAN UNIVERSAL 10ks</t>
  </si>
  <si>
    <t>8590580899993</t>
  </si>
  <si>
    <t>JEHLY ORGAN JEANS MIX 5ks</t>
  </si>
  <si>
    <t>8590580899986</t>
  </si>
  <si>
    <t>JEHLY ORGAN Super Stretch 75,5ks</t>
  </si>
  <si>
    <t>8590580899979</t>
  </si>
  <si>
    <t xml:space="preserve">JEHLY RUČNÍ KOŠÍČEK ORIGINÁL </t>
  </si>
  <si>
    <t>8590580899962</t>
  </si>
  <si>
    <t>ŠPENDLÍK SKLENĚNÁ HLAVIČKA 10g</t>
  </si>
  <si>
    <t>8590580899955</t>
  </si>
  <si>
    <t>ŠPENDLÍK PLAST.HLAV.BÍLÁ 80ks</t>
  </si>
  <si>
    <t>8590580899948</t>
  </si>
  <si>
    <t>ŠPENDLÍK ZAVÍRACÍ MIX 1-3, NIKL+LAK</t>
  </si>
  <si>
    <t>8590580899931</t>
  </si>
  <si>
    <t>SUCHÝ ZIP 2 cm, ODSTŘIH 20 CM, ČERNÁ+BÍLÁ</t>
  </si>
  <si>
    <t>8590580899924</t>
  </si>
  <si>
    <t>KNOFLÍK PROPÍNACÍ LOŽNÍ PRÁDLO 14 kusů</t>
  </si>
  <si>
    <t>8590580899887</t>
  </si>
  <si>
    <t>KNOFLÍK MANDLOVACÍ 18 mm, 20 kusů</t>
  </si>
  <si>
    <t>8590580899870</t>
  </si>
  <si>
    <t>KNOFLÍK MANDLOVACÍ 15 mm, 20 kusů</t>
  </si>
  <si>
    <t>8590580899863</t>
  </si>
  <si>
    <t>KREJČOVSKÝ METR 150 cm</t>
  </si>
  <si>
    <t>8590580899856</t>
  </si>
  <si>
    <t>NIT UNIPOLY 100 m, bílá,černá, modrá</t>
  </si>
  <si>
    <t>8590580899849</t>
  </si>
  <si>
    <t>NIT UNIPOLY 100 m, bílá</t>
  </si>
  <si>
    <t>8590580899832</t>
  </si>
  <si>
    <t>NIT UNIPOLY 100 m, černá</t>
  </si>
  <si>
    <t>8590580899825</t>
  </si>
  <si>
    <t>NIT LNĚNÁ KNOFLÍKOVÁ 50 m MIX</t>
  </si>
  <si>
    <t>8590580899818</t>
  </si>
  <si>
    <t>ZIP JEANS 20 cm, černý + tmavě modrý</t>
  </si>
  <si>
    <t>8590580899801</t>
  </si>
  <si>
    <t>ZIP SPIRÁLA 3 mm, 20 cm, černá, bílá</t>
  </si>
  <si>
    <t>8590580899795</t>
  </si>
  <si>
    <t>ZIP SPIRÁLA 3 mm, 40 cm, černá, bílá</t>
  </si>
  <si>
    <t>8590580899788</t>
  </si>
  <si>
    <t xml:space="preserve">ZIP SPIRÁLA NEDĚLITELNÝ 5 mm, 2 x 20 cm </t>
  </si>
  <si>
    <t>8590580899771</t>
  </si>
  <si>
    <t xml:space="preserve">ZIP SPIRÁLA DĚLITELNÝ 5 mm, 75 cm </t>
  </si>
  <si>
    <t>8590580899764</t>
  </si>
  <si>
    <t>ZIP KOSTĚNÝ DĚLITELNÝ 5 mm, 80 cm</t>
  </si>
  <si>
    <t>8590580899757</t>
  </si>
  <si>
    <t>GUMA NA KARTĚ 8 mm, bílá</t>
  </si>
  <si>
    <t>8590580989977</t>
  </si>
  <si>
    <t>GUMA NA KARTĚ 8 mm, černá</t>
  </si>
  <si>
    <t>8590580989984</t>
  </si>
  <si>
    <t>GUMA NA KARTĚ 10 mm, bílá</t>
  </si>
  <si>
    <t>8590580899511</t>
  </si>
  <si>
    <t>GUMA NA KARTĚ 10 mm, černá</t>
  </si>
  <si>
    <t>8590580989472</t>
  </si>
  <si>
    <t>GUMA NA KARTĚ 12 mm, bílá</t>
  </si>
  <si>
    <t>8590580989946</t>
  </si>
  <si>
    <t>GUMA NA KARTĚ 12 mm, černá</t>
  </si>
  <si>
    <t>8590580898939</t>
  </si>
  <si>
    <t>KEPROVKA NA KARTĚ 6 mm, bílá</t>
  </si>
  <si>
    <t>8590580899917</t>
  </si>
  <si>
    <t>ZÁPLATA ZAŽEHLOVACÍ VELKÁ 43 x 20 cm černá</t>
  </si>
  <si>
    <t>8590580989809</t>
  </si>
  <si>
    <t>ZÁPLATA ZAŽEHLOVACÍ VELKÁ 43 x 20 cm modrá</t>
  </si>
  <si>
    <t>8590580989793</t>
  </si>
  <si>
    <t>ZÁPLATA ZAŽEHLOVACÍ VELKÁ 43 x 20 cm bílá</t>
  </si>
  <si>
    <t>8590580989786</t>
  </si>
  <si>
    <t>naše marže</t>
  </si>
  <si>
    <t>1-830095</t>
  </si>
  <si>
    <t xml:space="preserve"> </t>
  </si>
  <si>
    <t>Marže +50%</t>
  </si>
  <si>
    <t>TKANIČKY KULATÉ 4 mm, 100% PES, 90 cm, MIX BAREV</t>
  </si>
  <si>
    <t>TKANIČKY KULATÉ 6 mm, 100% PES, 130 cm, MIX BAREV</t>
  </si>
  <si>
    <t>TKANIČKY PLOCHÉ 6 mm, 100% PES, 90 cm, MIX BAREV</t>
  </si>
  <si>
    <t>TKANIČKY PLOCHÉ 7 mm, 100% PES, 130 cm, MIX BAREV</t>
  </si>
  <si>
    <t>TKANIČKY KULATÉ 3 mm, 100% BA, 90 cm, MIX BAREV</t>
  </si>
  <si>
    <t>TKANIČKY PLOCHÉ 7 mm, 100% BA, 130 cm, MIX BAREV</t>
  </si>
  <si>
    <t>RUČNÍ JEHLY 20 kusů + NAVLÉKAČ</t>
  </si>
  <si>
    <t xml:space="preserve">RUČNÍ JEHLY NA PLACHTY  </t>
  </si>
  <si>
    <t>RUČNÍ JEHLY NA KOBERCE</t>
  </si>
  <si>
    <t>8590580899894</t>
  </si>
  <si>
    <t>8590580899740</t>
  </si>
  <si>
    <t>8590580899603</t>
  </si>
  <si>
    <t>8590580899597</t>
  </si>
  <si>
    <t>8590580899580</t>
  </si>
  <si>
    <t>8590580899573</t>
  </si>
  <si>
    <t>8590580899566</t>
  </si>
  <si>
    <t>8590580899559</t>
  </si>
  <si>
    <t>8590580899542</t>
  </si>
  <si>
    <t>s276921</t>
  </si>
  <si>
    <t>s276922</t>
  </si>
  <si>
    <t>s80415</t>
  </si>
  <si>
    <t>s80398</t>
  </si>
  <si>
    <t>s660085</t>
  </si>
  <si>
    <t>s80412</t>
  </si>
  <si>
    <t>s235</t>
  </si>
  <si>
    <t>s199</t>
  </si>
  <si>
    <t>s830040</t>
  </si>
  <si>
    <t>s830462</t>
  </si>
  <si>
    <t>s700808</t>
  </si>
  <si>
    <t>s224004_1</t>
  </si>
  <si>
    <t>s224004_2</t>
  </si>
  <si>
    <t>s224004_3</t>
  </si>
  <si>
    <t>s314</t>
  </si>
  <si>
    <t>s661620</t>
  </si>
  <si>
    <t>s76</t>
  </si>
  <si>
    <t>s100</t>
  </si>
  <si>
    <t>s1020</t>
  </si>
  <si>
    <t>s1075</t>
  </si>
  <si>
    <t>s5080</t>
  </si>
  <si>
    <t>s342_1</t>
  </si>
  <si>
    <t>s342_2</t>
  </si>
  <si>
    <t>s31s1</t>
  </si>
  <si>
    <t>s31s2</t>
  </si>
  <si>
    <t>s668_1</t>
  </si>
  <si>
    <t>s668_2</t>
  </si>
  <si>
    <t>s559</t>
  </si>
  <si>
    <t>s344_1</t>
  </si>
  <si>
    <t>s344_2</t>
  </si>
  <si>
    <t>s344_3</t>
  </si>
  <si>
    <t>s9901</t>
  </si>
  <si>
    <t>s9902</t>
  </si>
  <si>
    <t>s9903</t>
  </si>
  <si>
    <t>s9904</t>
  </si>
  <si>
    <t>s9905</t>
  </si>
  <si>
    <t>s9906</t>
  </si>
  <si>
    <t>s80394</t>
  </si>
  <si>
    <t>s80399</t>
  </si>
  <si>
    <t>s80400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</si>
</sst>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Kč&quot;"/>
  </numFmts>
  <fonts count="4" x14ac:knownFonts="1">
    <font>
      <sz val="11"/>
      <color theme="1"/>
      <name val="Aptos Narrow"/>
      <family val="2"/>
      <charset val="238"/>
      <scheme val="minor"/>
    </font>
    <font>
      <sz val="8"/>
      <color rgb="FF3D3D3A"/>
      <name val="Segoe UI"/>
      <family val="2"/>
      <charset val="238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1631-E9BF-4AA7-BCD9-2ECF20F7D4A3}">
  <dimension ref="A1:U44"/>
  <sheetViews>
    <sheetView tabSelected="1" topLeftCell="A20" workbookViewId="0">
      <selection activeCell="G50" sqref="G50"/>
    </sheetView>
  </sheetViews>
  <sheetFormatPr defaultRowHeight="15" x14ac:dyDescent="0.25"/>
  <cols>
    <col min="1" max="1" width="12" style="1" customWidth="1"/>
    <col min="2" max="2" width="50.140625" style="2" customWidth="1"/>
    <col min="3" max="4" width="12.28515625" style="3" customWidth="1"/>
    <col min="5" max="5" width="14" style="3" customWidth="1"/>
    <col min="6" max="6" width="13" style="3" customWidth="1"/>
    <col min="7" max="7" width="12.85546875" style="3" customWidth="1"/>
    <col min="8" max="8" width="9.5703125" style="3" bestFit="1" customWidth="1"/>
    <col min="9" max="9" width="14.5703125" style="3" customWidth="1"/>
    <col min="10" max="10" width="17.85546875" style="8" customWidth="1"/>
    <col min="11" max="13" width="9.140625" style="3"/>
    <col min="14" max="16384" width="9.140625" style="2"/>
  </cols>
  <sheetData>
    <row r="1" spans="1:10" x14ac:dyDescent="0.25">
      <c r="G1" s="7" t="s">
        <v>0</v>
      </c>
      <c r="H1" s="7"/>
    </row>
    <row r="2" spans="1:10" x14ac:dyDescent="0.25">
      <c r="A2" s="1" t="s">
        <v>1</v>
      </c>
      <c r="B2" s="2" t="s">
        <v>2</v>
      </c>
      <c r="C2" s="3" t="s">
        <v>3</v>
      </c>
      <c r="D2" s="3" t="s">
        <v>73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76</v>
      </c>
      <c r="J2" s="8" t="s">
        <v>8</v>
      </c>
    </row>
    <row r="3" spans="1:10" x14ac:dyDescent="0.25">
      <c r="A3" s="1" t="s">
        <v>95</v>
      </c>
      <c r="B3" s="2" t="s">
        <v>9</v>
      </c>
      <c r="C3" s="3">
        <v>22.63</v>
      </c>
      <c r="D3" s="3">
        <f>E3-C3</f>
        <v>11.309999999999999</v>
      </c>
      <c r="E3" s="3">
        <v>33.94</v>
      </c>
      <c r="F3" s="3">
        <v>5.5</v>
      </c>
      <c r="G3" s="3">
        <f t="shared" ref="G3:G15" si="0">E3+F3</f>
        <v>39.44</v>
      </c>
      <c r="H3" s="4">
        <v>95.9</v>
      </c>
      <c r="I3" s="5">
        <f t="shared" ref="I3:I34" si="1">H3/1.21-G3</f>
        <v>39.816198347107445</v>
      </c>
      <c r="J3" s="9" t="s">
        <v>10</v>
      </c>
    </row>
    <row r="4" spans="1:10" x14ac:dyDescent="0.25">
      <c r="A4" s="1" t="s">
        <v>96</v>
      </c>
      <c r="B4" s="2" t="s">
        <v>11</v>
      </c>
      <c r="C4" s="3">
        <v>17.02</v>
      </c>
      <c r="D4" s="3">
        <f t="shared" ref="D4:D36" si="2">E4-C4</f>
        <v>8.5100000000000016</v>
      </c>
      <c r="E4" s="3">
        <v>25.53</v>
      </c>
      <c r="F4" s="3">
        <v>5.5</v>
      </c>
      <c r="G4" s="3">
        <f t="shared" si="0"/>
        <v>31.03</v>
      </c>
      <c r="H4" s="4">
        <v>74.900000000000006</v>
      </c>
      <c r="I4" s="5">
        <f t="shared" si="1"/>
        <v>30.870826446280994</v>
      </c>
      <c r="J4" s="9" t="s">
        <v>12</v>
      </c>
    </row>
    <row r="5" spans="1:10" x14ac:dyDescent="0.25">
      <c r="A5" s="1" t="s">
        <v>97</v>
      </c>
      <c r="B5" s="2" t="s">
        <v>13</v>
      </c>
      <c r="C5" s="3">
        <v>18.899999999999999</v>
      </c>
      <c r="D5" s="3">
        <f t="shared" si="2"/>
        <v>11.380000000000003</v>
      </c>
      <c r="E5" s="3">
        <v>30.28</v>
      </c>
      <c r="F5" s="3">
        <v>5.5</v>
      </c>
      <c r="G5" s="3">
        <f t="shared" si="0"/>
        <v>35.78</v>
      </c>
      <c r="H5" s="4">
        <v>86.9</v>
      </c>
      <c r="I5" s="5">
        <f t="shared" si="1"/>
        <v>36.038181818181826</v>
      </c>
      <c r="J5" s="9" t="s">
        <v>14</v>
      </c>
    </row>
    <row r="6" spans="1:10" x14ac:dyDescent="0.25">
      <c r="A6" s="1" t="s">
        <v>98</v>
      </c>
      <c r="B6" s="2" t="s">
        <v>15</v>
      </c>
      <c r="C6" s="3">
        <v>15.45</v>
      </c>
      <c r="D6" s="3">
        <f t="shared" si="2"/>
        <v>6.0399999999999991</v>
      </c>
      <c r="E6" s="3">
        <v>21.49</v>
      </c>
      <c r="F6" s="3">
        <v>0</v>
      </c>
      <c r="G6" s="3">
        <f t="shared" si="0"/>
        <v>21.49</v>
      </c>
      <c r="H6" s="4">
        <v>51.9</v>
      </c>
      <c r="I6" s="5">
        <f t="shared" si="1"/>
        <v>21.402561983471077</v>
      </c>
      <c r="J6" s="9" t="s">
        <v>16</v>
      </c>
    </row>
    <row r="7" spans="1:10" x14ac:dyDescent="0.25">
      <c r="A7" s="1" t="s">
        <v>99</v>
      </c>
      <c r="B7" s="2" t="s">
        <v>17</v>
      </c>
      <c r="C7" s="3">
        <v>12.76</v>
      </c>
      <c r="D7" s="3">
        <f t="shared" si="2"/>
        <v>10.229999999999999</v>
      </c>
      <c r="E7" s="3">
        <v>22.99</v>
      </c>
      <c r="F7" s="3">
        <v>5.5</v>
      </c>
      <c r="G7" s="3">
        <f t="shared" si="0"/>
        <v>28.49</v>
      </c>
      <c r="H7" s="4">
        <v>69</v>
      </c>
      <c r="I7" s="5">
        <f t="shared" si="1"/>
        <v>28.534793388429758</v>
      </c>
      <c r="J7" s="9" t="s">
        <v>18</v>
      </c>
    </row>
    <row r="8" spans="1:10" x14ac:dyDescent="0.25">
      <c r="A8" s="1" t="s">
        <v>100</v>
      </c>
      <c r="B8" s="2" t="s">
        <v>19</v>
      </c>
      <c r="C8" s="3">
        <v>12.73</v>
      </c>
      <c r="D8" s="3">
        <f t="shared" si="2"/>
        <v>5.09</v>
      </c>
      <c r="E8" s="3">
        <v>17.82</v>
      </c>
      <c r="F8" s="3">
        <v>5.5</v>
      </c>
      <c r="G8" s="3">
        <f t="shared" si="0"/>
        <v>23.32</v>
      </c>
      <c r="H8" s="4">
        <v>56.9</v>
      </c>
      <c r="I8" s="5">
        <f t="shared" si="1"/>
        <v>23.704793388429749</v>
      </c>
      <c r="J8" s="9" t="s">
        <v>20</v>
      </c>
    </row>
    <row r="9" spans="1:10" x14ac:dyDescent="0.25">
      <c r="A9" s="1" t="s">
        <v>101</v>
      </c>
      <c r="B9" s="2" t="s">
        <v>21</v>
      </c>
      <c r="C9" s="3">
        <v>11.64</v>
      </c>
      <c r="D9" s="3">
        <f t="shared" si="2"/>
        <v>4.4899999999999984</v>
      </c>
      <c r="E9" s="3">
        <v>16.13</v>
      </c>
      <c r="F9" s="3">
        <v>5.5</v>
      </c>
      <c r="G9" s="3">
        <f t="shared" si="0"/>
        <v>21.63</v>
      </c>
      <c r="H9" s="4">
        <v>52.9</v>
      </c>
      <c r="I9" s="5">
        <f t="shared" si="1"/>
        <v>22.089008264462809</v>
      </c>
      <c r="J9" s="9" t="s">
        <v>22</v>
      </c>
    </row>
    <row r="10" spans="1:10" x14ac:dyDescent="0.25">
      <c r="A10" s="1" t="s">
        <v>102</v>
      </c>
      <c r="B10" s="2" t="s">
        <v>23</v>
      </c>
      <c r="C10" s="3">
        <v>1.06</v>
      </c>
      <c r="D10" s="3">
        <f t="shared" si="2"/>
        <v>3.8400000000000003</v>
      </c>
      <c r="E10" s="3">
        <v>4.9000000000000004</v>
      </c>
      <c r="F10" s="3">
        <v>5.5</v>
      </c>
      <c r="G10" s="3">
        <f t="shared" si="0"/>
        <v>10.4</v>
      </c>
      <c r="H10" s="4">
        <v>25.9</v>
      </c>
      <c r="I10" s="5">
        <f t="shared" si="1"/>
        <v>11.00495867768595</v>
      </c>
      <c r="J10" s="9" t="s">
        <v>24</v>
      </c>
    </row>
    <row r="11" spans="1:10" x14ac:dyDescent="0.25">
      <c r="A11" s="1" t="s">
        <v>103</v>
      </c>
      <c r="B11" s="2" t="s">
        <v>25</v>
      </c>
      <c r="C11" s="3">
        <v>15.68</v>
      </c>
      <c r="D11" s="3">
        <f t="shared" si="2"/>
        <v>6.3000000000000007</v>
      </c>
      <c r="E11" s="3">
        <v>21.98</v>
      </c>
      <c r="F11" s="3">
        <v>5.5</v>
      </c>
      <c r="G11" s="3">
        <f t="shared" si="0"/>
        <v>27.48</v>
      </c>
      <c r="H11" s="4">
        <v>59</v>
      </c>
      <c r="I11" s="5">
        <f t="shared" si="1"/>
        <v>21.280330578512395</v>
      </c>
      <c r="J11" s="6" t="s">
        <v>26</v>
      </c>
    </row>
    <row r="12" spans="1:10" x14ac:dyDescent="0.25">
      <c r="A12" s="1" t="s">
        <v>104</v>
      </c>
      <c r="B12" s="2" t="s">
        <v>27</v>
      </c>
      <c r="C12" s="3">
        <v>19.399999999999999</v>
      </c>
      <c r="D12" s="3">
        <f t="shared" si="2"/>
        <v>7.6000000000000014</v>
      </c>
      <c r="E12" s="3">
        <v>27</v>
      </c>
      <c r="F12" s="3">
        <v>5.5</v>
      </c>
      <c r="G12" s="3">
        <f t="shared" si="0"/>
        <v>32.5</v>
      </c>
      <c r="H12" s="4">
        <v>78.900000000000006</v>
      </c>
      <c r="I12" s="5">
        <f t="shared" si="1"/>
        <v>32.706611570247944</v>
      </c>
      <c r="J12" s="6" t="s">
        <v>28</v>
      </c>
    </row>
    <row r="13" spans="1:10" x14ac:dyDescent="0.25">
      <c r="A13" s="1" t="s">
        <v>74</v>
      </c>
      <c r="B13" s="2" t="s">
        <v>29</v>
      </c>
      <c r="C13" s="3">
        <v>20.6</v>
      </c>
      <c r="D13" s="3">
        <f t="shared" si="2"/>
        <v>6.3999999999999986</v>
      </c>
      <c r="E13" s="3">
        <v>27</v>
      </c>
      <c r="F13" s="3">
        <v>5.5</v>
      </c>
      <c r="G13" s="3">
        <f t="shared" si="0"/>
        <v>32.5</v>
      </c>
      <c r="H13" s="4">
        <v>78.900000000000006</v>
      </c>
      <c r="I13" s="5">
        <f t="shared" si="1"/>
        <v>32.706611570247944</v>
      </c>
      <c r="J13" s="6" t="s">
        <v>30</v>
      </c>
    </row>
    <row r="14" spans="1:10" x14ac:dyDescent="0.25">
      <c r="A14" s="1" t="s">
        <v>105</v>
      </c>
      <c r="B14" s="2" t="s">
        <v>31</v>
      </c>
      <c r="C14" s="3">
        <v>4.21</v>
      </c>
      <c r="D14" s="3">
        <f t="shared" si="2"/>
        <v>4.6900000000000004</v>
      </c>
      <c r="E14" s="3">
        <v>8.9</v>
      </c>
      <c r="F14" s="3">
        <v>5.5</v>
      </c>
      <c r="G14" s="3">
        <f t="shared" si="0"/>
        <v>14.4</v>
      </c>
      <c r="H14" s="4">
        <v>34.9</v>
      </c>
      <c r="I14" s="5">
        <f t="shared" si="1"/>
        <v>14.442975206611569</v>
      </c>
      <c r="J14" s="6" t="s">
        <v>32</v>
      </c>
    </row>
    <row r="15" spans="1:10" x14ac:dyDescent="0.25">
      <c r="A15" s="1" t="s">
        <v>106</v>
      </c>
      <c r="B15" s="2" t="s">
        <v>33</v>
      </c>
      <c r="C15" s="3">
        <v>10.199999999999999</v>
      </c>
      <c r="D15" s="3">
        <f t="shared" si="2"/>
        <v>3.0600000000000005</v>
      </c>
      <c r="E15" s="3">
        <v>13.26</v>
      </c>
      <c r="F15" s="3">
        <v>5.5</v>
      </c>
      <c r="G15" s="3">
        <f t="shared" si="0"/>
        <v>18.759999999999998</v>
      </c>
      <c r="H15" s="4">
        <v>45.9</v>
      </c>
      <c r="I15" s="5">
        <f t="shared" si="1"/>
        <v>19.173884297520665</v>
      </c>
      <c r="J15" s="6" t="s">
        <v>34</v>
      </c>
    </row>
    <row r="16" spans="1:10" x14ac:dyDescent="0.25">
      <c r="A16" s="1" t="s">
        <v>107</v>
      </c>
      <c r="B16" s="2" t="s">
        <v>35</v>
      </c>
      <c r="C16" s="3">
        <v>10.199999999999999</v>
      </c>
      <c r="D16" s="3">
        <f t="shared" si="2"/>
        <v>3.0600000000000005</v>
      </c>
      <c r="E16" s="3">
        <v>13.26</v>
      </c>
      <c r="F16" s="3">
        <v>5.5</v>
      </c>
      <c r="G16" s="3">
        <f t="shared" ref="G16" si="3">E16+F16</f>
        <v>18.759999999999998</v>
      </c>
      <c r="H16" s="4">
        <v>45.9</v>
      </c>
      <c r="I16" s="5">
        <f t="shared" si="1"/>
        <v>19.173884297520665</v>
      </c>
      <c r="J16" s="6" t="s">
        <v>36</v>
      </c>
    </row>
    <row r="17" spans="1:21" x14ac:dyDescent="0.25">
      <c r="A17" s="1" t="s">
        <v>108</v>
      </c>
      <c r="B17" s="2" t="s">
        <v>37</v>
      </c>
      <c r="C17" s="3">
        <v>10.199999999999999</v>
      </c>
      <c r="D17" s="3">
        <f t="shared" si="2"/>
        <v>3.0600000000000005</v>
      </c>
      <c r="E17" s="3">
        <v>13.26</v>
      </c>
      <c r="F17" s="3">
        <v>5.5</v>
      </c>
      <c r="G17" s="3">
        <f t="shared" ref="G17:G36" si="4">E17+F17</f>
        <v>18.759999999999998</v>
      </c>
      <c r="H17" s="4">
        <f t="shared" ref="H17:H31" si="5">G17*2*1.21</f>
        <v>45.399199999999993</v>
      </c>
      <c r="I17" s="5">
        <f t="shared" si="1"/>
        <v>18.759999999999998</v>
      </c>
      <c r="J17" s="6" t="s">
        <v>38</v>
      </c>
    </row>
    <row r="18" spans="1:21" x14ac:dyDescent="0.25">
      <c r="A18" s="1" t="s">
        <v>109</v>
      </c>
      <c r="B18" s="2" t="s">
        <v>39</v>
      </c>
      <c r="C18" s="3">
        <v>16.2</v>
      </c>
      <c r="D18" s="3">
        <f t="shared" si="2"/>
        <v>6.48</v>
      </c>
      <c r="E18" s="3">
        <v>22.68</v>
      </c>
      <c r="F18" s="3">
        <v>5.5</v>
      </c>
      <c r="G18" s="3">
        <f t="shared" si="4"/>
        <v>28.18</v>
      </c>
      <c r="H18" s="4">
        <f t="shared" si="5"/>
        <v>68.195599999999999</v>
      </c>
      <c r="I18" s="5">
        <f t="shared" si="1"/>
        <v>28.18</v>
      </c>
      <c r="J18" s="6" t="s">
        <v>40</v>
      </c>
    </row>
    <row r="19" spans="1:21" x14ac:dyDescent="0.25">
      <c r="A19" s="1" t="s">
        <v>110</v>
      </c>
      <c r="B19" s="2" t="s">
        <v>41</v>
      </c>
      <c r="C19" s="3">
        <v>12.62</v>
      </c>
      <c r="D19" s="3">
        <f t="shared" si="2"/>
        <v>12.94</v>
      </c>
      <c r="E19" s="3">
        <v>25.56</v>
      </c>
      <c r="F19" s="3">
        <v>5.5</v>
      </c>
      <c r="G19" s="3">
        <f t="shared" si="4"/>
        <v>31.06</v>
      </c>
      <c r="H19" s="4">
        <v>74.900000000000006</v>
      </c>
      <c r="I19" s="5">
        <f t="shared" si="1"/>
        <v>30.840826446280996</v>
      </c>
      <c r="J19" s="6" t="s">
        <v>42</v>
      </c>
    </row>
    <row r="20" spans="1:21" x14ac:dyDescent="0.25">
      <c r="A20" s="1" t="s">
        <v>111</v>
      </c>
      <c r="B20" s="2" t="s">
        <v>43</v>
      </c>
      <c r="C20" s="3">
        <v>2</v>
      </c>
      <c r="D20" s="3">
        <f t="shared" si="2"/>
        <v>6.3599999999999994</v>
      </c>
      <c r="E20" s="3">
        <v>8.36</v>
      </c>
      <c r="F20" s="3">
        <v>5.5</v>
      </c>
      <c r="G20" s="3">
        <f t="shared" si="4"/>
        <v>13.86</v>
      </c>
      <c r="H20" s="4">
        <v>33.9</v>
      </c>
      <c r="I20" s="5">
        <f t="shared" si="1"/>
        <v>14.156528925619835</v>
      </c>
      <c r="J20" s="6" t="s">
        <v>44</v>
      </c>
    </row>
    <row r="21" spans="1:21" x14ac:dyDescent="0.25">
      <c r="A21" s="1" t="s">
        <v>112</v>
      </c>
      <c r="B21" s="2" t="s">
        <v>45</v>
      </c>
      <c r="C21" s="3">
        <v>2.8</v>
      </c>
      <c r="D21" s="3">
        <f t="shared" si="2"/>
        <v>10.039999999999999</v>
      </c>
      <c r="E21" s="3">
        <v>12.84</v>
      </c>
      <c r="F21" s="3">
        <v>5.5</v>
      </c>
      <c r="G21" s="3">
        <f t="shared" si="4"/>
        <v>18.34</v>
      </c>
      <c r="H21" s="4">
        <v>44.9</v>
      </c>
      <c r="I21" s="5">
        <f t="shared" si="1"/>
        <v>18.767438016528924</v>
      </c>
      <c r="J21" s="6" t="s">
        <v>46</v>
      </c>
    </row>
    <row r="22" spans="1:21" x14ac:dyDescent="0.25">
      <c r="A22" s="1" t="s">
        <v>113</v>
      </c>
      <c r="B22" s="2" t="s">
        <v>47</v>
      </c>
      <c r="C22" s="3">
        <v>1.85</v>
      </c>
      <c r="D22" s="3">
        <f t="shared" si="2"/>
        <v>3.0500000000000003</v>
      </c>
      <c r="E22" s="3">
        <v>4.9000000000000004</v>
      </c>
      <c r="F22" s="3">
        <v>5.5</v>
      </c>
      <c r="G22" s="3">
        <f t="shared" si="4"/>
        <v>10.4</v>
      </c>
      <c r="H22" s="4">
        <f t="shared" si="5"/>
        <v>25.167999999999999</v>
      </c>
      <c r="I22" s="5">
        <f t="shared" si="1"/>
        <v>10.4</v>
      </c>
      <c r="J22" s="6" t="s">
        <v>48</v>
      </c>
    </row>
    <row r="23" spans="1:21" x14ac:dyDescent="0.25">
      <c r="A23" s="1" t="s">
        <v>114</v>
      </c>
      <c r="B23" s="2" t="s">
        <v>49</v>
      </c>
      <c r="C23" s="3">
        <v>3.44</v>
      </c>
      <c r="D23" s="3">
        <f t="shared" si="2"/>
        <v>10.020000000000001</v>
      </c>
      <c r="E23" s="3">
        <v>13.46</v>
      </c>
      <c r="F23" s="3">
        <v>5.5</v>
      </c>
      <c r="G23" s="3">
        <f t="shared" si="4"/>
        <v>18.96</v>
      </c>
      <c r="H23" s="4">
        <v>45.9</v>
      </c>
      <c r="I23" s="5">
        <f t="shared" si="1"/>
        <v>18.973884297520662</v>
      </c>
      <c r="J23" s="6" t="s">
        <v>50</v>
      </c>
    </row>
    <row r="24" spans="1:21" x14ac:dyDescent="0.25">
      <c r="A24" s="1" t="s">
        <v>115</v>
      </c>
      <c r="B24" s="2" t="s">
        <v>51</v>
      </c>
      <c r="C24" s="3">
        <v>7.2</v>
      </c>
      <c r="D24" s="3">
        <f t="shared" si="2"/>
        <v>7.1000000000000005</v>
      </c>
      <c r="E24" s="3">
        <v>14.3</v>
      </c>
      <c r="F24" s="3">
        <v>5.5</v>
      </c>
      <c r="G24" s="3">
        <f t="shared" si="4"/>
        <v>19.8</v>
      </c>
      <c r="H24" s="4">
        <v>47.9</v>
      </c>
      <c r="I24" s="5">
        <f t="shared" si="1"/>
        <v>19.786776859504133</v>
      </c>
      <c r="J24" s="6" t="s">
        <v>52</v>
      </c>
    </row>
    <row r="25" spans="1:21" x14ac:dyDescent="0.25">
      <c r="A25" s="1" t="s">
        <v>116</v>
      </c>
      <c r="B25" s="2" t="s">
        <v>53</v>
      </c>
      <c r="C25" s="3">
        <v>8</v>
      </c>
      <c r="D25" s="3">
        <f t="shared" si="2"/>
        <v>4.9000000000000004</v>
      </c>
      <c r="E25" s="3">
        <v>12.9</v>
      </c>
      <c r="F25" s="3">
        <v>0</v>
      </c>
      <c r="G25" s="3">
        <f t="shared" si="4"/>
        <v>12.9</v>
      </c>
      <c r="H25" s="4">
        <f t="shared" si="5"/>
        <v>31.218</v>
      </c>
      <c r="I25" s="5">
        <f t="shared" si="1"/>
        <v>12.9</v>
      </c>
      <c r="J25" s="10" t="s">
        <v>54</v>
      </c>
    </row>
    <row r="26" spans="1:21" x14ac:dyDescent="0.25">
      <c r="A26" s="1" t="s">
        <v>117</v>
      </c>
      <c r="B26" s="2" t="s">
        <v>55</v>
      </c>
      <c r="C26" s="3">
        <v>8</v>
      </c>
      <c r="D26" s="3">
        <f t="shared" si="2"/>
        <v>4.9000000000000004</v>
      </c>
      <c r="E26" s="3">
        <v>12.9</v>
      </c>
      <c r="F26" s="3">
        <v>0</v>
      </c>
      <c r="G26" s="3">
        <f t="shared" si="4"/>
        <v>12.9</v>
      </c>
      <c r="H26" s="4">
        <f t="shared" si="5"/>
        <v>31.218</v>
      </c>
      <c r="I26" s="5">
        <f t="shared" si="1"/>
        <v>12.9</v>
      </c>
      <c r="J26" s="10" t="s">
        <v>56</v>
      </c>
    </row>
    <row r="27" spans="1:21" x14ac:dyDescent="0.25">
      <c r="A27" s="1" t="s">
        <v>118</v>
      </c>
      <c r="B27" s="2" t="s">
        <v>57</v>
      </c>
      <c r="C27" s="3">
        <v>8.0500000000000007</v>
      </c>
      <c r="D27" s="3">
        <f t="shared" si="2"/>
        <v>5.85</v>
      </c>
      <c r="E27" s="3">
        <v>13.9</v>
      </c>
      <c r="F27" s="3">
        <v>0</v>
      </c>
      <c r="G27" s="3">
        <f t="shared" si="4"/>
        <v>13.9</v>
      </c>
      <c r="H27" s="4">
        <f t="shared" si="5"/>
        <v>33.637999999999998</v>
      </c>
      <c r="I27" s="5">
        <f t="shared" si="1"/>
        <v>13.9</v>
      </c>
      <c r="J27" s="10" t="s">
        <v>58</v>
      </c>
    </row>
    <row r="28" spans="1:21" x14ac:dyDescent="0.25">
      <c r="A28" s="1" t="s">
        <v>119</v>
      </c>
      <c r="B28" s="2" t="s">
        <v>59</v>
      </c>
      <c r="C28" s="3">
        <v>8.0500000000000007</v>
      </c>
      <c r="D28" s="3">
        <f t="shared" si="2"/>
        <v>5.85</v>
      </c>
      <c r="E28" s="3">
        <v>13.9</v>
      </c>
      <c r="F28" s="3">
        <v>0</v>
      </c>
      <c r="G28" s="3">
        <f t="shared" si="4"/>
        <v>13.9</v>
      </c>
      <c r="H28" s="4">
        <f t="shared" si="5"/>
        <v>33.637999999999998</v>
      </c>
      <c r="I28" s="5">
        <f t="shared" si="1"/>
        <v>13.9</v>
      </c>
      <c r="J28" s="10" t="s">
        <v>60</v>
      </c>
      <c r="U28" s="2" t="s">
        <v>75</v>
      </c>
    </row>
    <row r="29" spans="1:21" x14ac:dyDescent="0.25">
      <c r="A29" s="1" t="s">
        <v>120</v>
      </c>
      <c r="B29" s="2" t="s">
        <v>61</v>
      </c>
      <c r="C29" s="3">
        <v>8.4</v>
      </c>
      <c r="D29" s="3">
        <f t="shared" si="2"/>
        <v>6.5</v>
      </c>
      <c r="E29" s="3">
        <v>14.9</v>
      </c>
      <c r="F29" s="3">
        <v>0</v>
      </c>
      <c r="G29" s="3">
        <f t="shared" si="4"/>
        <v>14.9</v>
      </c>
      <c r="H29" s="4">
        <f t="shared" si="5"/>
        <v>36.058</v>
      </c>
      <c r="I29" s="5">
        <f t="shared" si="1"/>
        <v>14.9</v>
      </c>
      <c r="J29" s="10" t="s">
        <v>62</v>
      </c>
    </row>
    <row r="30" spans="1:21" x14ac:dyDescent="0.25">
      <c r="A30" s="1" t="s">
        <v>121</v>
      </c>
      <c r="B30" s="2" t="s">
        <v>63</v>
      </c>
      <c r="C30" s="3">
        <v>8.4</v>
      </c>
      <c r="D30" s="3">
        <f t="shared" si="2"/>
        <v>6.5</v>
      </c>
      <c r="E30" s="3">
        <v>14.9</v>
      </c>
      <c r="F30" s="3">
        <v>0</v>
      </c>
      <c r="G30" s="3">
        <f t="shared" si="4"/>
        <v>14.9</v>
      </c>
      <c r="H30" s="4">
        <f t="shared" si="5"/>
        <v>36.058</v>
      </c>
      <c r="I30" s="5">
        <f t="shared" si="1"/>
        <v>14.9</v>
      </c>
      <c r="J30" s="10" t="s">
        <v>64</v>
      </c>
    </row>
    <row r="31" spans="1:21" x14ac:dyDescent="0.25">
      <c r="A31" s="1" t="s">
        <v>122</v>
      </c>
      <c r="B31" s="2" t="s">
        <v>65</v>
      </c>
      <c r="C31" s="3">
        <v>1</v>
      </c>
      <c r="D31" s="3">
        <f t="shared" si="2"/>
        <v>6.05</v>
      </c>
      <c r="E31" s="3">
        <v>7.05</v>
      </c>
      <c r="F31" s="3">
        <v>0</v>
      </c>
      <c r="G31" s="3">
        <f t="shared" si="4"/>
        <v>7.05</v>
      </c>
      <c r="H31" s="3">
        <f t="shared" si="5"/>
        <v>17.061</v>
      </c>
      <c r="I31" s="5">
        <f t="shared" si="1"/>
        <v>7.05</v>
      </c>
      <c r="J31" s="10" t="s">
        <v>66</v>
      </c>
    </row>
    <row r="32" spans="1:21" x14ac:dyDescent="0.25">
      <c r="A32" s="1" t="s">
        <v>123</v>
      </c>
      <c r="B32" s="2" t="s">
        <v>67</v>
      </c>
      <c r="C32" s="3">
        <v>14</v>
      </c>
      <c r="D32" s="3">
        <f t="shared" si="2"/>
        <v>5.6000000000000014</v>
      </c>
      <c r="E32" s="3">
        <v>19.600000000000001</v>
      </c>
      <c r="F32" s="3">
        <v>0</v>
      </c>
      <c r="G32" s="3">
        <f t="shared" si="4"/>
        <v>19.600000000000001</v>
      </c>
      <c r="H32" s="3">
        <v>47.9</v>
      </c>
      <c r="I32" s="5">
        <f t="shared" si="1"/>
        <v>19.986776859504133</v>
      </c>
      <c r="J32" s="10" t="s">
        <v>68</v>
      </c>
    </row>
    <row r="33" spans="1:10" x14ac:dyDescent="0.25">
      <c r="A33" s="1" t="s">
        <v>124</v>
      </c>
      <c r="B33" s="2" t="s">
        <v>69</v>
      </c>
      <c r="C33" s="3">
        <v>14</v>
      </c>
      <c r="D33" s="3">
        <f t="shared" si="2"/>
        <v>5.6000000000000014</v>
      </c>
      <c r="E33" s="3">
        <v>19.600000000000001</v>
      </c>
      <c r="F33" s="3">
        <v>0</v>
      </c>
      <c r="G33" s="3">
        <f t="shared" si="4"/>
        <v>19.600000000000001</v>
      </c>
      <c r="H33" s="3">
        <v>47.9</v>
      </c>
      <c r="I33" s="5">
        <f t="shared" si="1"/>
        <v>19.986776859504133</v>
      </c>
      <c r="J33" s="10" t="s">
        <v>70</v>
      </c>
    </row>
    <row r="34" spans="1:10" x14ac:dyDescent="0.25">
      <c r="A34" s="1" t="s">
        <v>125</v>
      </c>
      <c r="B34" s="2" t="s">
        <v>71</v>
      </c>
      <c r="C34" s="3">
        <v>14</v>
      </c>
      <c r="D34" s="3">
        <f t="shared" si="2"/>
        <v>5.6000000000000014</v>
      </c>
      <c r="E34" s="3">
        <v>19.600000000000001</v>
      </c>
      <c r="F34" s="3">
        <v>0</v>
      </c>
      <c r="G34" s="3">
        <f t="shared" si="4"/>
        <v>19.600000000000001</v>
      </c>
      <c r="H34" s="3">
        <v>47.9</v>
      </c>
      <c r="I34" s="5">
        <f t="shared" si="1"/>
        <v>19.986776859504133</v>
      </c>
      <c r="J34" s="10" t="s">
        <v>72</v>
      </c>
    </row>
    <row r="35" spans="1:10" x14ac:dyDescent="0.25">
      <c r="A35" s="1" t="s">
        <v>126</v>
      </c>
      <c r="B35" s="2" t="s">
        <v>77</v>
      </c>
      <c r="C35" s="3">
        <v>8</v>
      </c>
      <c r="D35" s="3">
        <f t="shared" si="2"/>
        <v>2.9000000000000004</v>
      </c>
      <c r="E35" s="3">
        <v>10.9</v>
      </c>
      <c r="F35" s="3">
        <v>5.5</v>
      </c>
      <c r="G35" s="3">
        <f t="shared" si="4"/>
        <v>16.399999999999999</v>
      </c>
      <c r="H35" s="3">
        <v>39.9</v>
      </c>
      <c r="I35" s="5">
        <f>H35/1.21-G35</f>
        <v>16.575206611570252</v>
      </c>
      <c r="J35" s="9" t="s">
        <v>86</v>
      </c>
    </row>
    <row r="36" spans="1:10" x14ac:dyDescent="0.25">
      <c r="A36" s="1" t="s">
        <v>127</v>
      </c>
      <c r="B36" s="2" t="s">
        <v>78</v>
      </c>
      <c r="C36" s="3">
        <v>9.1999999999999993</v>
      </c>
      <c r="D36" s="3">
        <f t="shared" si="2"/>
        <v>2.8000000000000007</v>
      </c>
      <c r="E36" s="3">
        <v>12</v>
      </c>
      <c r="F36" s="3">
        <v>5.5</v>
      </c>
      <c r="G36" s="3">
        <f t="shared" si="4"/>
        <v>17.5</v>
      </c>
      <c r="H36" s="3">
        <v>42.9</v>
      </c>
      <c r="I36" s="5">
        <f>H36/1.21-G36</f>
        <v>17.954545454545453</v>
      </c>
      <c r="J36" s="9" t="s">
        <v>87</v>
      </c>
    </row>
    <row r="37" spans="1:10" x14ac:dyDescent="0.25">
      <c r="A37" s="1" t="s">
        <v>128</v>
      </c>
      <c r="B37" s="2" t="s">
        <v>79</v>
      </c>
      <c r="C37" s="3">
        <v>8</v>
      </c>
      <c r="D37" s="3">
        <f t="shared" ref="D37:D43" si="6">E37-C37</f>
        <v>2.9000000000000004</v>
      </c>
      <c r="E37" s="3">
        <v>10.9</v>
      </c>
      <c r="F37" s="3">
        <v>5.5</v>
      </c>
      <c r="G37" s="3">
        <f t="shared" ref="G37:G43" si="7">E37+F37</f>
        <v>16.399999999999999</v>
      </c>
      <c r="H37" s="3">
        <v>39.9</v>
      </c>
      <c r="I37" s="5">
        <f>H37/1.21-G37</f>
        <v>16.575206611570252</v>
      </c>
      <c r="J37" s="9" t="s">
        <v>88</v>
      </c>
    </row>
    <row r="38" spans="1:10" x14ac:dyDescent="0.25">
      <c r="A38" s="1" t="s">
        <v>129</v>
      </c>
      <c r="B38" s="2" t="s">
        <v>80</v>
      </c>
      <c r="C38" s="3">
        <v>9.1999999999999993</v>
      </c>
      <c r="D38" s="3">
        <f t="shared" si="6"/>
        <v>2.8000000000000007</v>
      </c>
      <c r="E38" s="3">
        <v>12</v>
      </c>
      <c r="F38" s="3">
        <v>5.5</v>
      </c>
      <c r="G38" s="3">
        <f t="shared" si="7"/>
        <v>17.5</v>
      </c>
      <c r="H38" s="3">
        <v>42.9</v>
      </c>
      <c r="I38" s="5">
        <f>H38/1.21-G38</f>
        <v>17.954545454545453</v>
      </c>
      <c r="J38" s="9" t="s">
        <v>89</v>
      </c>
    </row>
    <row r="39" spans="1:10" x14ac:dyDescent="0.25">
      <c r="A39" s="1" t="s">
        <v>130</v>
      </c>
      <c r="B39" s="2" t="s">
        <v>81</v>
      </c>
      <c r="C39" s="3">
        <v>8.8000000000000007</v>
      </c>
      <c r="D39" s="3">
        <f t="shared" si="6"/>
        <v>3.0999999999999996</v>
      </c>
      <c r="E39" s="3">
        <v>11.9</v>
      </c>
      <c r="F39" s="3">
        <v>5.5</v>
      </c>
      <c r="G39" s="3">
        <f t="shared" si="7"/>
        <v>17.399999999999999</v>
      </c>
      <c r="H39" s="3">
        <v>42.2</v>
      </c>
      <c r="I39" s="5">
        <f t="shared" ref="I39:I43" si="8">H39/1.21-G39</f>
        <v>17.476033057851247</v>
      </c>
      <c r="J39" s="9" t="s">
        <v>90</v>
      </c>
    </row>
    <row r="40" spans="1:10" x14ac:dyDescent="0.25">
      <c r="A40" s="1" t="s">
        <v>131</v>
      </c>
      <c r="B40" s="2" t="s">
        <v>82</v>
      </c>
      <c r="C40" s="3">
        <v>10</v>
      </c>
      <c r="D40" s="3">
        <f t="shared" si="6"/>
        <v>3</v>
      </c>
      <c r="E40" s="3">
        <v>13</v>
      </c>
      <c r="F40" s="3">
        <v>5.5</v>
      </c>
      <c r="G40" s="3">
        <f t="shared" si="7"/>
        <v>18.5</v>
      </c>
      <c r="H40" s="3">
        <v>44.9</v>
      </c>
      <c r="I40" s="5">
        <f t="shared" si="8"/>
        <v>18.607438016528924</v>
      </c>
      <c r="J40" s="9" t="s">
        <v>91</v>
      </c>
    </row>
    <row r="41" spans="1:10" x14ac:dyDescent="0.25">
      <c r="A41" s="1" t="s">
        <v>132</v>
      </c>
      <c r="B41" s="2" t="s">
        <v>83</v>
      </c>
      <c r="C41" s="3">
        <v>11.78</v>
      </c>
      <c r="D41" s="3">
        <f t="shared" si="6"/>
        <v>5.8900000000000023</v>
      </c>
      <c r="E41" s="3">
        <v>17.670000000000002</v>
      </c>
      <c r="F41" s="3">
        <v>0</v>
      </c>
      <c r="G41" s="3">
        <f t="shared" si="7"/>
        <v>17.670000000000002</v>
      </c>
      <c r="H41" s="3">
        <v>42.9</v>
      </c>
      <c r="I41" s="5">
        <f t="shared" si="8"/>
        <v>17.784545454545452</v>
      </c>
      <c r="J41" s="9" t="s">
        <v>92</v>
      </c>
    </row>
    <row r="42" spans="1:10" x14ac:dyDescent="0.25">
      <c r="A42" s="1" t="s">
        <v>133</v>
      </c>
      <c r="B42" s="2" t="s">
        <v>84</v>
      </c>
      <c r="C42" s="3">
        <v>12.9</v>
      </c>
      <c r="D42" s="3">
        <f t="shared" si="6"/>
        <v>9.1799999999999979</v>
      </c>
      <c r="E42" s="3">
        <v>22.08</v>
      </c>
      <c r="F42" s="3">
        <v>0</v>
      </c>
      <c r="G42" s="3">
        <f t="shared" si="7"/>
        <v>22.08</v>
      </c>
      <c r="H42" s="3">
        <v>53.9</v>
      </c>
      <c r="I42" s="5">
        <f t="shared" si="8"/>
        <v>22.465454545454548</v>
      </c>
      <c r="J42" s="9" t="s">
        <v>93</v>
      </c>
    </row>
    <row r="43" spans="1:10" x14ac:dyDescent="0.25">
      <c r="A43" s="1" t="s">
        <v>134</v>
      </c>
      <c r="B43" s="2" t="s">
        <v>85</v>
      </c>
      <c r="C43" s="3">
        <v>11.79</v>
      </c>
      <c r="D43" s="3">
        <f t="shared" si="6"/>
        <v>7.7899999999999991</v>
      </c>
      <c r="E43" s="3">
        <v>19.579999999999998</v>
      </c>
      <c r="F43" s="3">
        <v>0</v>
      </c>
      <c r="G43" s="3">
        <f t="shared" si="7"/>
        <v>19.579999999999998</v>
      </c>
      <c r="H43" s="3">
        <v>47.9</v>
      </c>
      <c r="I43" s="5">
        <f t="shared" si="8"/>
        <v>20.006776859504136</v>
      </c>
      <c r="J43" s="9" t="s">
        <v>94</v>
      </c>
    </row>
    <row r="44" spans="1:10" x14ac:dyDescent="0.25">
      <c r="I44" s="5" t="s">
        <v>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Litvín</dc:creator>
  <cp:lastModifiedBy>Stanislav Litvín</cp:lastModifiedBy>
  <dcterms:created xsi:type="dcterms:W3CDTF">2026-06-08T12:15:02Z</dcterms:created>
  <dcterms:modified xsi:type="dcterms:W3CDTF">2026-07-30T05:36:45Z</dcterms:modified>
</cp:coreProperties>
</file>